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lts" sheetId="1" state="visible" r:id="rId3"/>
    <sheet name="Per_Class_F1" sheetId="2" state="visible" r:id="rId4"/>
    <sheet name="Rare_Classes" sheetId="3" state="visible" r:id="rId5"/>
    <sheet name="Literature_Comparison" sheetId="4" state="visible" r:id="rId6"/>
    <sheet name="Setup_Note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<sst xmlns="http://schemas.openxmlformats.org/spreadsheetml/2006/main" count="166" uniqueCount="136">
  <si>
    <t xml:space="preserve">Test-set results: 7 deep learning models on CICIoT2023 (8 classes)</t>
  </si>
  <si>
    <t xml:space="preserve">Blue = value from notebook output (DeepLearning_notebook / Final_Model_Results.csv); black = formula. Test set: 268,463 flows, natural class distribution. One run per model, CPU.</t>
  </si>
  <si>
    <t xml:space="preserve">Model</t>
  </si>
  <si>
    <t xml:space="preserve">Family</t>
  </si>
  <si>
    <t xml:space="preserve">Parameters</t>
  </si>
  <si>
    <t xml:space="preserve">Accuracy</t>
  </si>
  <si>
    <t xml:space="preserve">Macro Precision</t>
  </si>
  <si>
    <t xml:space="preserve">Macro Recall</t>
  </si>
  <si>
    <t xml:space="preserve">Macro F1</t>
  </si>
  <si>
    <t xml:space="preserve">Macro Specificity</t>
  </si>
  <si>
    <t xml:space="preserve">Training Time (s)</t>
  </si>
  <si>
    <t xml:space="preserve">Accuracy Rank</t>
  </si>
  <si>
    <t xml:space="preserve">Macro F1 Rank</t>
  </si>
  <si>
    <t xml:space="preserve">Training Time Rank</t>
  </si>
  <si>
    <t xml:space="preserve">Accuracy vs DNN (pts)</t>
  </si>
  <si>
    <t xml:space="preserve">Macro F1 vs DNN (pts)</t>
  </si>
  <si>
    <t xml:space="preserve">Training Time vs DNN (x)</t>
  </si>
  <si>
    <t xml:space="preserve">DNN</t>
  </si>
  <si>
    <t xml:space="preserve">MLP</t>
  </si>
  <si>
    <t xml:space="preserve">DNN + Dropout</t>
  </si>
  <si>
    <t xml:space="preserve">DNN + L2</t>
  </si>
  <si>
    <t xml:space="preserve">Proposed DNN</t>
  </si>
  <si>
    <t xml:space="preserve">GRU</t>
  </si>
  <si>
    <t xml:space="preserve">Recurrent</t>
  </si>
  <si>
    <t xml:space="preserve">LSTM</t>
  </si>
  <si>
    <t xml:space="preserve">Transformer</t>
  </si>
  <si>
    <t xml:space="preserve">Attention</t>
  </si>
  <si>
    <t xml:space="preserve">Best model by metric</t>
  </si>
  <si>
    <t xml:space="preserve">Recurrent and attention comparisons</t>
  </si>
  <si>
    <t xml:space="preserve">Metric</t>
  </si>
  <si>
    <t xml:space="preserve">Best value</t>
  </si>
  <si>
    <t xml:space="preserve">Comparison (first minus second)</t>
  </si>
  <si>
    <t xml:space="preserve">Accuracy diff (pts)</t>
  </si>
  <si>
    <t xml:space="preserve">Macro F1 diff (pts)</t>
  </si>
  <si>
    <t xml:space="preserve">Macro Recall diff (pts)</t>
  </si>
  <si>
    <t xml:space="preserve">Training time ratio (x)</t>
  </si>
  <si>
    <t xml:space="preserve">Transformer vs GRU</t>
  </si>
  <si>
    <t xml:space="preserve">GRU vs LSTM</t>
  </si>
  <si>
    <t xml:space="preserve">Transformer vs DNN</t>
  </si>
  <si>
    <t xml:space="preserve">GRU vs DNN</t>
  </si>
  <si>
    <t xml:space="preserve">Shortest training time (s)</t>
  </si>
  <si>
    <t xml:space="preserve">Notes: Training time is CPU wall-clock including a validation pass each epoch; it is a relative training-cost indicator, not inference latency. Ranks: 1 = best (for training time, 1 = fastest). Gaps of 1-2 points are not shown to be meaningful (single run, no seed set for model weights).</t>
  </si>
  <si>
    <t xml:space="preserve">Per-class F1 on the test set</t>
  </si>
  <si>
    <t xml:space="preserve">Source: notebook classification reports (2 decimals). Share of test set is a formula on the flow counts.</t>
  </si>
  <si>
    <t xml:space="preserve">Class</t>
  </si>
  <si>
    <t xml:space="preserve">Test flows</t>
  </si>
  <si>
    <t xml:space="preserve">Share of test set</t>
  </si>
  <si>
    <t xml:space="preserve">Benign</t>
  </si>
  <si>
    <t xml:space="preserve">BruteForce</t>
  </si>
  <si>
    <t xml:space="preserve">DDoS</t>
  </si>
  <si>
    <t xml:space="preserve">DoS</t>
  </si>
  <si>
    <t xml:space="preserve">Mirai</t>
  </si>
  <si>
    <t xml:space="preserve">Recon</t>
  </si>
  <si>
    <t xml:space="preserve">Spoofing</t>
  </si>
  <si>
    <t xml:space="preserve">Web-based</t>
  </si>
  <si>
    <t xml:space="preserve">Total test flows</t>
  </si>
  <si>
    <t xml:space="preserve">Lowest class F1</t>
  </si>
  <si>
    <t xml:space="preserve">Classes with F1 below 0.30</t>
  </si>
  <si>
    <t xml:space="preserve">Mean of class F1 (unweighted)</t>
  </si>
  <si>
    <t xml:space="preserve">Mean of class F1 differs slightly from the Macro F1 on Results because the per-class values are rounded to 2 decimals.</t>
  </si>
  <si>
    <t xml:space="preserve">Rare classes: BruteForce and Web-based</t>
  </si>
  <si>
    <t xml:space="preserve">Precision and recall on the test set (2 decimals). Together these classes are a small share of test flows.</t>
  </si>
  <si>
    <t xml:space="preserve">BruteForce precision</t>
  </si>
  <si>
    <t xml:space="preserve">BruteForce recall</t>
  </si>
  <si>
    <t xml:space="preserve">Web-based precision</t>
  </si>
  <si>
    <t xml:space="preserve">Web-based recall</t>
  </si>
  <si>
    <t xml:space="preserve">Precision &lt; recall in both classes?</t>
  </si>
  <si>
    <t xml:space="preserve">BruteForce + Web-based share of test flows</t>
  </si>
  <si>
    <t xml:space="preserve">Lowest precision across models</t>
  </si>
  <si>
    <t xml:space="preserve">Highest precision across models</t>
  </si>
  <si>
    <t xml:space="preserve">Position against published CICIoT2023 results</t>
  </si>
  <si>
    <t xml:space="preserve">Setups differ (labels, sampling, test regime), so this shows where the study sits, not which method is better. Values as reported by the authors; not reproduced.</t>
  </si>
  <si>
    <t xml:space="preserve">Study / experiment</t>
  </si>
  <si>
    <t xml:space="preserve">Representative model</t>
  </si>
  <si>
    <t xml:space="preserve">Classes</t>
  </si>
  <si>
    <t xml:space="preserve">Context</t>
  </si>
  <si>
    <t xml:space="preserve">Difference vs this study's best accuracy (pts)</t>
  </si>
  <si>
    <t xml:space="preserve">Kwari &amp; Rajkumar (2025)</t>
  </si>
  <si>
    <t xml:space="preserve">Soft-voting ensemble</t>
  </si>
  <si>
    <t xml:space="preserve">34</t>
  </si>
  <si>
    <t xml:space="preserve">Natural imbalance; 100k subset; macro-F1 0.54</t>
  </si>
  <si>
    <t xml:space="preserve">Imran et al. (2026)</t>
  </si>
  <si>
    <t xml:space="preserve">6</t>
  </si>
  <si>
    <t xml:space="preserve">CICIoT2023 + IoT-23; 18,000 samples</t>
  </si>
  <si>
    <t xml:space="preserve">Meena &amp; Indian (2025)</t>
  </si>
  <si>
    <t xml:space="preserve">Enhanced LSTM</t>
  </si>
  <si>
    <t xml:space="preserve">Different data scale and task</t>
  </si>
  <si>
    <t xml:space="preserve">Hajjouz &amp; Avksentieva (2024)</t>
  </si>
  <si>
    <t xml:space="preserve">CatBoost</t>
  </si>
  <si>
    <t xml:space="preserve">20</t>
  </si>
  <si>
    <t xml:space="preserve">Full dataset; class weights; six-fold validation</t>
  </si>
  <si>
    <t xml:space="preserve">Almahaqeri et al. (2026)</t>
  </si>
  <si>
    <t xml:space="preserve">Gradient boosting</t>
  </si>
  <si>
    <t xml:space="preserve">8</t>
  </si>
  <si>
    <t xml:space="preserve">Lower bound (paper states &gt;99.4%); undersampled test set</t>
  </si>
  <si>
    <t xml:space="preserve">Yaras &amp; Dener (2024)</t>
  </si>
  <si>
    <t xml:space="preserve">1D-CNN + LSTM</t>
  </si>
  <si>
    <t xml:space="preserve">Multiclass</t>
  </si>
  <si>
    <t xml:space="preserve">Different task/setup (binary: 99.995%)</t>
  </si>
  <si>
    <t xml:space="preserve">This project (best accuracy)</t>
  </si>
  <si>
    <t xml:space="preserve">80k balanced train; 268,463-flow natural test</t>
  </si>
  <si>
    <t xml:space="preserve">Macro F1 this study (best)</t>
  </si>
  <si>
    <t xml:space="preserve">Macro F1 Kwari &amp; Rajkumar (34 classes)</t>
  </si>
  <si>
    <t xml:space="preserve">Difference (pts)</t>
  </si>
  <si>
    <t xml:space="preserve">Source: SOTA_Analysis_IoT_IDS.xlsx and project report. Only the Kwari &amp; Rajkumar result is a natural-distribution figure that reports macro-F1.</t>
  </si>
  <si>
    <t xml:space="preserve">Experimental setup and caveats</t>
  </si>
  <si>
    <t xml:space="preserve">Values entered from the project report and notebook output.</t>
  </si>
  <si>
    <t xml:space="preserve">Item</t>
  </si>
  <si>
    <t xml:space="preserve">Value</t>
  </si>
  <si>
    <t xml:space="preserve">Dataset context</t>
  </si>
  <si>
    <t xml:space="preserve">CICIoT2023 (derived 8-class configuration)</t>
  </si>
  <si>
    <t xml:space="preserve">Benign, BruteForce, DDoS, DoS, Mirai, Recon, Spoofing, Web-based</t>
  </si>
  <si>
    <t xml:space="preserve">Input features</t>
  </si>
  <si>
    <t xml:space="preserve">39 standardised numerical features</t>
  </si>
  <si>
    <t xml:space="preserve">Training sample</t>
  </si>
  <si>
    <t xml:space="preserve">10,000 flows per class (80,000 total); 84,370 duplicate training rows removed before sampling</t>
  </si>
  <si>
    <t xml:space="preserve">Train / validation</t>
  </si>
  <si>
    <t xml:space="preserve">80/20 stratified (64,000 / 16,000), random_state 42; StandardScaler fitted on training part</t>
  </si>
  <si>
    <t xml:space="preserve">Test set</t>
  </si>
  <si>
    <t xml:space="preserve">268,463 flows as supplied; natural class distribution; not resampled or de-duplicated</t>
  </si>
  <si>
    <t xml:space="preserve">Epoch budget</t>
  </si>
  <si>
    <t xml:space="preserve">20 (DNN variants, GRU, LSTM); 25 (Transformer)</t>
  </si>
  <si>
    <t xml:space="preserve">Early stopping / LR reduction</t>
  </si>
  <si>
    <t xml:space="preserve">Used for Proposed DNN, GRU, LSTM, Transformer; not for DNN, DNN + Dropout, DNN + L2</t>
  </si>
  <si>
    <t xml:space="preserve">Hardware</t>
  </si>
  <si>
    <t xml:space="preserve">CPU only (TensorFlow 2.21.0); times include a validation pass every epoch</t>
  </si>
  <si>
    <t xml:space="preserve">Runs</t>
  </si>
  <si>
    <t xml:space="preserve">One run per model; no seed set for model weights; no significance test</t>
  </si>
  <si>
    <t xml:space="preserve">Caveat: training budget</t>
  </si>
  <si>
    <t xml:space="preserve">GRU and Transformer ended at their epoch limit with validation loss still falling; rankings may reflect budget as well as architecture</t>
  </si>
  <si>
    <t xml:space="preserve">Caveat: sequence models</t>
  </si>
  <si>
    <t xml:space="preserve">GRU/LSTM treat the 39 features as an ordered sequence, a modelling choice rather than observed time order</t>
  </si>
  <si>
    <t xml:space="preserve">Caveat: not measured</t>
  </si>
  <si>
    <t xml:space="preserve">Inference latency, memory, throughput, energy; test/train overlap was not checked</t>
  </si>
  <si>
    <t xml:space="preserve">Earlier versions</t>
  </si>
  <si>
    <t xml:space="preserve">Earlier 1D-CNN and older Transformer results are not used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</si>
</sst>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#,##0"/>
    <numFmt numFmtId="166" formatCode="0.00%"/>
    <numFmt numFmtId="167" formatCode="#,##0.00"/>
    <numFmt numFmtId="168" formatCode="General"/>
    <numFmt numFmtId="169" formatCode="\+0.00;\-0.00;0.00"/>
    <numFmt numFmtId="170" formatCode="0.0\x"/>
    <numFmt numFmtId="171" formatCode="\+0.00;\-0.00"/>
    <numFmt numFmtId="172" formatCode="0.0%"/>
    <numFmt numFmtId="173" formatCode="0%"/>
    <numFmt numFmtId="174" formatCode="0.00"/>
    <numFmt numFmtId="175" formatCode="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B1F2A"/>
      <name val="Arial"/>
      <family val="0"/>
      <charset val="1"/>
    </font>
    <font>
      <i val="true"/>
      <sz val="9"/>
      <color rgb="FF5B6B7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0"/>
      <charset val="1"/>
    </font>
    <font>
      <b val="true"/>
      <sz val="12"/>
      <color rgb="FF0B1F2A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0B1F2A"/>
        <bgColor rgb="FF003366"/>
      </patternFill>
    </fill>
    <fill>
      <patternFill patternType="solid">
        <fgColor rgb="FFF2F6F8"/>
        <bgColor rgb="FFFFFFFF"/>
      </patternFill>
    </fill>
    <fill>
      <patternFill patternType="solid">
        <fgColor rgb="FFE3EAEE"/>
        <bgColor rgb="FFDDE5EA"/>
      </patternFill>
    </fill>
    <fill>
      <patternFill patternType="solid">
        <fgColor rgb="FFFFF1C9"/>
        <bgColor rgb="FFF2F6F8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DE5EA"/>
      </left>
      <right style="thin">
        <color rgb="FFDDE5EA"/>
      </right>
      <top style="thin">
        <color rgb="FFDDE5EA"/>
      </top>
      <bottom style="thin">
        <color rgb="FFDDE5E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9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9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9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9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9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9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2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2" fontId="9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3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13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13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13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5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3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3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3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B6B79"/>
      <rgbColor rgb="FF800080"/>
      <rgbColor rgb="FF008080"/>
      <rgbColor rgb="FFC0C0C0"/>
      <rgbColor rgb="FF878787"/>
      <rgbColor rgb="FF93A9CE"/>
      <rgbColor rgb="FFAB4744"/>
      <rgbColor rgb="FFFFF1C9"/>
      <rgbColor rgb="FFE3EAEE"/>
      <rgbColor rgb="FF660066"/>
      <rgbColor rgb="FFDC853E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6F8"/>
      <rgbColor rgb="FFDDE5EA"/>
      <rgbColor rgb="FFFFFF99"/>
      <rgbColor rgb="FF99CCFF"/>
      <rgbColor rgb="FFFF99CC"/>
      <rgbColor rgb="FFCC99FF"/>
      <rgbColor rgb="FFFFCC99"/>
      <rgbColor rgb="FF4672A8"/>
      <rgbColor rgb="FF4299B0"/>
      <rgbColor rgb="FF99CC00"/>
      <rgbColor rgb="FFFFCC00"/>
      <rgbColor rgb="FFFF9900"/>
      <rgbColor rgb="FFFF6600"/>
      <rgbColor rgb="FF725990"/>
      <rgbColor rgb="FF8AA64F"/>
      <rgbColor rgb="FF003366"/>
      <rgbColor rgb="FF1AA89A"/>
      <rgbColor rgb="FF0B1F2A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Accuracy and Macro F1 by model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Results!D4</c:f>
              <c:strCache>
                <c:ptCount val="1"/>
                <c:pt idx="0">
                  <c:v>Accuracy</c:v>
                </c:pt>
              </c:strCache>
            </c:strRef>
          </c:tx>
          <c:spPr>
            <a:solidFill>
              <a:srgbClr val="0b1f2a"/>
            </a:solidFill>
            <a:ln w="0">
              <a:noFill/>
            </a:ln>
          </c:spPr>
          <c:invertIfNegative val="0"/>
          <c:dLbls>
            <c:numFmt formatCode="0.0%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Results!$A$5:$A$11</c:f>
              <c:strCache>
                <c:ptCount val="7"/>
                <c:pt idx="0">
                  <c:v>DNN</c:v>
                </c:pt>
                <c:pt idx="1">
                  <c:v>DNN + Dropout</c:v>
                </c:pt>
                <c:pt idx="2">
                  <c:v>DNN + L2</c:v>
                </c:pt>
                <c:pt idx="3">
                  <c:v>Proposed DNN</c:v>
                </c:pt>
                <c:pt idx="4">
                  <c:v>GRU</c:v>
                </c:pt>
                <c:pt idx="5">
                  <c:v>LSTM</c:v>
                </c:pt>
                <c:pt idx="6">
                  <c:v>Transformer</c:v>
                </c:pt>
              </c:strCache>
            </c:strRef>
          </c:cat>
          <c:val>
            <c:numRef>
              <c:f>Results!$D$5:$D$11</c:f>
              <c:numCache>
                <c:formatCode>0.00%</c:formatCode>
                <c:ptCount val="7"/>
                <c:pt idx="0">
                  <c:v>0.7544</c:v>
                </c:pt>
                <c:pt idx="1">
                  <c:v>0.7373</c:v>
                </c:pt>
                <c:pt idx="2">
                  <c:v>0.7508</c:v>
                </c:pt>
                <c:pt idx="3">
                  <c:v>0.7407</c:v>
                </c:pt>
                <c:pt idx="4">
                  <c:v>0.6982</c:v>
                </c:pt>
                <c:pt idx="5">
                  <c:v>0.5524</c:v>
                </c:pt>
                <c:pt idx="6">
                  <c:v>0.7253</c:v>
                </c:pt>
              </c:numCache>
            </c:numRef>
          </c:val>
        </c:ser>
        <c:ser>
          <c:idx val="1"/>
          <c:order val="1"/>
          <c:tx>
            <c:strRef>
              <c:f>Results!G4</c:f>
              <c:strCache>
                <c:ptCount val="1"/>
                <c:pt idx="0">
                  <c:v>Macro F1</c:v>
                </c:pt>
              </c:strCache>
            </c:strRef>
          </c:tx>
          <c:spPr>
            <a:solidFill>
              <a:srgbClr val="1aa89a"/>
            </a:solidFill>
            <a:ln w="0">
              <a:noFill/>
            </a:ln>
          </c:spPr>
          <c:invertIfNegative val="0"/>
          <c:dLbls>
            <c:numFmt formatCode="0.0%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Results!$A$5:$A$11</c:f>
              <c:strCache>
                <c:ptCount val="7"/>
                <c:pt idx="0">
                  <c:v>DNN</c:v>
                </c:pt>
                <c:pt idx="1">
                  <c:v>DNN + Dropout</c:v>
                </c:pt>
                <c:pt idx="2">
                  <c:v>DNN + L2</c:v>
                </c:pt>
                <c:pt idx="3">
                  <c:v>Proposed DNN</c:v>
                </c:pt>
                <c:pt idx="4">
                  <c:v>GRU</c:v>
                </c:pt>
                <c:pt idx="5">
                  <c:v>LSTM</c:v>
                </c:pt>
                <c:pt idx="6">
                  <c:v>Transformer</c:v>
                </c:pt>
              </c:strCache>
            </c:strRef>
          </c:cat>
          <c:val>
            <c:numRef>
              <c:f>Results!$G$5:$G$11</c:f>
              <c:numCache>
                <c:formatCode>0.00%</c:formatCode>
                <c:ptCount val="7"/>
                <c:pt idx="0">
                  <c:v>0.6346</c:v>
                </c:pt>
                <c:pt idx="1">
                  <c:v>0.621</c:v>
                </c:pt>
                <c:pt idx="2">
                  <c:v>0.6305</c:v>
                </c:pt>
                <c:pt idx="3">
                  <c:v>0.6226</c:v>
                </c:pt>
                <c:pt idx="4">
                  <c:v>0.5868</c:v>
                </c:pt>
                <c:pt idx="5">
                  <c:v>0.4571</c:v>
                </c:pt>
                <c:pt idx="6">
                  <c:v>0.6263</c:v>
                </c:pt>
              </c:numCache>
            </c:numRef>
          </c:val>
        </c:ser>
        <c:gapWidth val="150"/>
        <c:overlap val="0"/>
        <c:axId val="81431520"/>
        <c:axId val="16753341"/>
      </c:barChart>
      <c:catAx>
        <c:axId val="81431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6753341"/>
        <c:crosses val="autoZero"/>
        <c:auto val="1"/>
        <c:lblAlgn val="ctr"/>
        <c:lblOffset val="100"/>
        <c:noMultiLvlLbl val="0"/>
      </c:catAx>
      <c:valAx>
        <c:axId val="16753341"/>
        <c:scaling>
          <c:orientation val="minMax"/>
          <c:max val="1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1431520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Training time (s), log scale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Results!I4</c:f>
              <c:strCache>
                <c:ptCount val="1"/>
                <c:pt idx="0">
                  <c:v>Training Time (s)</c:v>
                </c:pt>
              </c:strCache>
            </c:strRef>
          </c:tx>
          <c:spPr>
            <a:solidFill>
              <a:srgbClr val="1aa89a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Results!$A$5:$A$11</c:f>
              <c:strCache>
                <c:ptCount val="7"/>
                <c:pt idx="0">
                  <c:v>DNN</c:v>
                </c:pt>
                <c:pt idx="1">
                  <c:v>DNN + Dropout</c:v>
                </c:pt>
                <c:pt idx="2">
                  <c:v>DNN + L2</c:v>
                </c:pt>
                <c:pt idx="3">
                  <c:v>Proposed DNN</c:v>
                </c:pt>
                <c:pt idx="4">
                  <c:v>GRU</c:v>
                </c:pt>
                <c:pt idx="5">
                  <c:v>LSTM</c:v>
                </c:pt>
                <c:pt idx="6">
                  <c:v>Transformer</c:v>
                </c:pt>
              </c:strCache>
            </c:strRef>
          </c:cat>
          <c:val>
            <c:numRef>
              <c:f>Results!$I$5:$I$11</c:f>
              <c:numCache>
                <c:formatCode>#,##0.00</c:formatCode>
                <c:ptCount val="7"/>
                <c:pt idx="0">
                  <c:v>19.48</c:v>
                </c:pt>
                <c:pt idx="1">
                  <c:v>21.84</c:v>
                </c:pt>
                <c:pt idx="2">
                  <c:v>18.46</c:v>
                </c:pt>
                <c:pt idx="3">
                  <c:v>25.7</c:v>
                </c:pt>
                <c:pt idx="4">
                  <c:v>668.69</c:v>
                </c:pt>
                <c:pt idx="5">
                  <c:v>173.61</c:v>
                </c:pt>
                <c:pt idx="6">
                  <c:v>3497.91</c:v>
                </c:pt>
              </c:numCache>
            </c:numRef>
          </c:val>
        </c:ser>
        <c:gapWidth val="150"/>
        <c:overlap val="0"/>
        <c:axId val="48698154"/>
        <c:axId val="39150468"/>
      </c:barChart>
      <c:catAx>
        <c:axId val="4869815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9150468"/>
        <c:crosses val="autoZero"/>
        <c:auto val="1"/>
        <c:lblAlgn val="ctr"/>
        <c:lblOffset val="100"/>
        <c:noMultiLvlLbl val="0"/>
      </c:catAx>
      <c:valAx>
        <c:axId val="39150468"/>
        <c:scaling>
          <c:logBase val="10"/>
          <c:orientation val="minMax"/>
          <c:min val="1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869815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Per-class F1 by model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Per_Class_F1!D4</c:f>
              <c:strCache>
                <c:ptCount val="1"/>
                <c:pt idx="0">
                  <c:v>DNN</c:v>
                </c:pt>
              </c:strCache>
            </c:strRef>
          </c:tx>
          <c:spPr>
            <a:solidFill>
              <a:srgbClr val="4672a8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Per_Class_F1!$A$5:$A$12</c:f>
              <c:strCache>
                <c:ptCount val="8"/>
                <c:pt idx="0">
                  <c:v>Benign</c:v>
                </c:pt>
                <c:pt idx="1">
                  <c:v>BruteForce</c:v>
                </c:pt>
                <c:pt idx="2">
                  <c:v>DDoS</c:v>
                </c:pt>
                <c:pt idx="3">
                  <c:v>DoS</c:v>
                </c:pt>
                <c:pt idx="4">
                  <c:v>Mirai</c:v>
                </c:pt>
                <c:pt idx="5">
                  <c:v>Recon</c:v>
                </c:pt>
                <c:pt idx="6">
                  <c:v>Spoofing</c:v>
                </c:pt>
                <c:pt idx="7">
                  <c:v>Web-based</c:v>
                </c:pt>
              </c:strCache>
            </c:strRef>
          </c:cat>
          <c:val>
            <c:numRef>
              <c:f>Per_Class_F1!$D$5:$D$12</c:f>
              <c:numCache>
                <c:formatCode>0.00</c:formatCode>
                <c:ptCount val="8"/>
                <c:pt idx="0">
                  <c:v>0.66</c:v>
                </c:pt>
                <c:pt idx="1">
                  <c:v>0.23</c:v>
                </c:pt>
                <c:pt idx="2">
                  <c:v>0.88</c:v>
                </c:pt>
                <c:pt idx="3">
                  <c:v>0.77</c:v>
                </c:pt>
                <c:pt idx="4">
                  <c:v>1</c:v>
                </c:pt>
                <c:pt idx="5">
                  <c:v>0.61</c:v>
                </c:pt>
                <c:pt idx="6">
                  <c:v>0.68</c:v>
                </c:pt>
                <c:pt idx="7">
                  <c:v>0.25</c:v>
                </c:pt>
              </c:numCache>
            </c:numRef>
          </c:val>
        </c:ser>
        <c:ser>
          <c:idx val="1"/>
          <c:order val="1"/>
          <c:tx>
            <c:strRef>
              <c:f>Per_Class_F1!E4</c:f>
              <c:strCache>
                <c:ptCount val="1"/>
                <c:pt idx="0">
                  <c:v>DNN + Dropout</c:v>
                </c:pt>
              </c:strCache>
            </c:strRef>
          </c:tx>
          <c:spPr>
            <a:solidFill>
              <a:srgbClr val="ab4744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Per_Class_F1!$A$5:$A$12</c:f>
              <c:strCache>
                <c:ptCount val="8"/>
                <c:pt idx="0">
                  <c:v>Benign</c:v>
                </c:pt>
                <c:pt idx="1">
                  <c:v>BruteForce</c:v>
                </c:pt>
                <c:pt idx="2">
                  <c:v>DDoS</c:v>
                </c:pt>
                <c:pt idx="3">
                  <c:v>DoS</c:v>
                </c:pt>
                <c:pt idx="4">
                  <c:v>Mirai</c:v>
                </c:pt>
                <c:pt idx="5">
                  <c:v>Recon</c:v>
                </c:pt>
                <c:pt idx="6">
                  <c:v>Spoofing</c:v>
                </c:pt>
                <c:pt idx="7">
                  <c:v>Web-based</c:v>
                </c:pt>
              </c:strCache>
            </c:strRef>
          </c:cat>
          <c:val>
            <c:numRef>
              <c:f>Per_Class_F1!$E$5:$E$12</c:f>
              <c:numCache>
                <c:formatCode>0.00</c:formatCode>
                <c:ptCount val="8"/>
                <c:pt idx="0">
                  <c:v>0.68</c:v>
                </c:pt>
                <c:pt idx="1">
                  <c:v>0.23</c:v>
                </c:pt>
                <c:pt idx="2">
                  <c:v>0.86</c:v>
                </c:pt>
                <c:pt idx="3">
                  <c:v>0.75</c:v>
                </c:pt>
                <c:pt idx="4">
                  <c:v>1</c:v>
                </c:pt>
                <c:pt idx="5">
                  <c:v>0.55</c:v>
                </c:pt>
                <c:pt idx="6">
                  <c:v>0.67</c:v>
                </c:pt>
                <c:pt idx="7">
                  <c:v>0.23</c:v>
                </c:pt>
              </c:numCache>
            </c:numRef>
          </c:val>
        </c:ser>
        <c:ser>
          <c:idx val="2"/>
          <c:order val="2"/>
          <c:tx>
            <c:strRef>
              <c:f>Per_Class_F1!F4</c:f>
              <c:strCache>
                <c:ptCount val="1"/>
                <c:pt idx="0">
                  <c:v>DNN + L2</c:v>
                </c:pt>
              </c:strCache>
            </c:strRef>
          </c:tx>
          <c:spPr>
            <a:solidFill>
              <a:srgbClr val="8aa64f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Per_Class_F1!$A$5:$A$12</c:f>
              <c:strCache>
                <c:ptCount val="8"/>
                <c:pt idx="0">
                  <c:v>Benign</c:v>
                </c:pt>
                <c:pt idx="1">
                  <c:v>BruteForce</c:v>
                </c:pt>
                <c:pt idx="2">
                  <c:v>DDoS</c:v>
                </c:pt>
                <c:pt idx="3">
                  <c:v>DoS</c:v>
                </c:pt>
                <c:pt idx="4">
                  <c:v>Mirai</c:v>
                </c:pt>
                <c:pt idx="5">
                  <c:v>Recon</c:v>
                </c:pt>
                <c:pt idx="6">
                  <c:v>Spoofing</c:v>
                </c:pt>
                <c:pt idx="7">
                  <c:v>Web-based</c:v>
                </c:pt>
              </c:strCache>
            </c:strRef>
          </c:cat>
          <c:val>
            <c:numRef>
              <c:f>Per_Class_F1!$F$5:$F$12</c:f>
              <c:numCache>
                <c:formatCode>0.00</c:formatCode>
                <c:ptCount val="8"/>
                <c:pt idx="0">
                  <c:v>0.66</c:v>
                </c:pt>
                <c:pt idx="1">
                  <c:v>0.27</c:v>
                </c:pt>
                <c:pt idx="2">
                  <c:v>0.88</c:v>
                </c:pt>
                <c:pt idx="3">
                  <c:v>0.75</c:v>
                </c:pt>
                <c:pt idx="4">
                  <c:v>1</c:v>
                </c:pt>
                <c:pt idx="5">
                  <c:v>0.59</c:v>
                </c:pt>
                <c:pt idx="6">
                  <c:v>0.66</c:v>
                </c:pt>
                <c:pt idx="7">
                  <c:v>0.24</c:v>
                </c:pt>
              </c:numCache>
            </c:numRef>
          </c:val>
        </c:ser>
        <c:ser>
          <c:idx val="3"/>
          <c:order val="3"/>
          <c:tx>
            <c:strRef>
              <c:f>Per_Class_F1!G4</c:f>
              <c:strCache>
                <c:ptCount val="1"/>
                <c:pt idx="0">
                  <c:v>Proposed DNN</c:v>
                </c:pt>
              </c:strCache>
            </c:strRef>
          </c:tx>
          <c:spPr>
            <a:solidFill>
              <a:srgbClr val="72599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Per_Class_F1!$A$5:$A$12</c:f>
              <c:strCache>
                <c:ptCount val="8"/>
                <c:pt idx="0">
                  <c:v>Benign</c:v>
                </c:pt>
                <c:pt idx="1">
                  <c:v>BruteForce</c:v>
                </c:pt>
                <c:pt idx="2">
                  <c:v>DDoS</c:v>
                </c:pt>
                <c:pt idx="3">
                  <c:v>DoS</c:v>
                </c:pt>
                <c:pt idx="4">
                  <c:v>Mirai</c:v>
                </c:pt>
                <c:pt idx="5">
                  <c:v>Recon</c:v>
                </c:pt>
                <c:pt idx="6">
                  <c:v>Spoofing</c:v>
                </c:pt>
                <c:pt idx="7">
                  <c:v>Web-based</c:v>
                </c:pt>
              </c:strCache>
            </c:strRef>
          </c:cat>
          <c:val>
            <c:numRef>
              <c:f>Per_Class_F1!$G$5:$G$12</c:f>
              <c:numCache>
                <c:formatCode>0.00</c:formatCode>
                <c:ptCount val="8"/>
                <c:pt idx="0">
                  <c:v>0.67</c:v>
                </c:pt>
                <c:pt idx="1">
                  <c:v>0.25</c:v>
                </c:pt>
                <c:pt idx="2">
                  <c:v>0.88</c:v>
                </c:pt>
                <c:pt idx="3">
                  <c:v>0.76</c:v>
                </c:pt>
                <c:pt idx="4">
                  <c:v>1</c:v>
                </c:pt>
                <c:pt idx="5">
                  <c:v>0.55</c:v>
                </c:pt>
                <c:pt idx="6">
                  <c:v>0.67</c:v>
                </c:pt>
                <c:pt idx="7">
                  <c:v>0.21</c:v>
                </c:pt>
              </c:numCache>
            </c:numRef>
          </c:val>
        </c:ser>
        <c:ser>
          <c:idx val="4"/>
          <c:order val="4"/>
          <c:tx>
            <c:strRef>
              <c:f>Per_Class_F1!H4</c:f>
              <c:strCache>
                <c:ptCount val="1"/>
                <c:pt idx="0">
                  <c:v>GRU</c:v>
                </c:pt>
              </c:strCache>
            </c:strRef>
          </c:tx>
          <c:spPr>
            <a:solidFill>
              <a:srgbClr val="4299b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Per_Class_F1!$A$5:$A$12</c:f>
              <c:strCache>
                <c:ptCount val="8"/>
                <c:pt idx="0">
                  <c:v>Benign</c:v>
                </c:pt>
                <c:pt idx="1">
                  <c:v>BruteForce</c:v>
                </c:pt>
                <c:pt idx="2">
                  <c:v>DDoS</c:v>
                </c:pt>
                <c:pt idx="3">
                  <c:v>DoS</c:v>
                </c:pt>
                <c:pt idx="4">
                  <c:v>Mirai</c:v>
                </c:pt>
                <c:pt idx="5">
                  <c:v>Recon</c:v>
                </c:pt>
                <c:pt idx="6">
                  <c:v>Spoofing</c:v>
                </c:pt>
                <c:pt idx="7">
                  <c:v>Web-based</c:v>
                </c:pt>
              </c:strCache>
            </c:strRef>
          </c:cat>
          <c:val>
            <c:numRef>
              <c:f>Per_Class_F1!$H$5:$H$12</c:f>
              <c:numCache>
                <c:formatCode>0.00</c:formatCode>
                <c:ptCount val="8"/>
                <c:pt idx="0">
                  <c:v>0.58</c:v>
                </c:pt>
                <c:pt idx="1">
                  <c:v>0.2</c:v>
                </c:pt>
                <c:pt idx="2">
                  <c:v>0.83</c:v>
                </c:pt>
                <c:pt idx="3">
                  <c:v>0.72</c:v>
                </c:pt>
                <c:pt idx="4">
                  <c:v>0.99</c:v>
                </c:pt>
                <c:pt idx="5">
                  <c:v>0.56</c:v>
                </c:pt>
                <c:pt idx="6">
                  <c:v>0.63</c:v>
                </c:pt>
                <c:pt idx="7">
                  <c:v>0.18</c:v>
                </c:pt>
              </c:numCache>
            </c:numRef>
          </c:val>
        </c:ser>
        <c:ser>
          <c:idx val="5"/>
          <c:order val="5"/>
          <c:tx>
            <c:strRef>
              <c:f>Per_Class_F1!I4</c:f>
              <c:strCache>
                <c:ptCount val="1"/>
                <c:pt idx="0">
                  <c:v>LSTM</c:v>
                </c:pt>
              </c:strCache>
            </c:strRef>
          </c:tx>
          <c:spPr>
            <a:solidFill>
              <a:srgbClr val="dc853e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Per_Class_F1!$A$5:$A$12</c:f>
              <c:strCache>
                <c:ptCount val="8"/>
                <c:pt idx="0">
                  <c:v>Benign</c:v>
                </c:pt>
                <c:pt idx="1">
                  <c:v>BruteForce</c:v>
                </c:pt>
                <c:pt idx="2">
                  <c:v>DDoS</c:v>
                </c:pt>
                <c:pt idx="3">
                  <c:v>DoS</c:v>
                </c:pt>
                <c:pt idx="4">
                  <c:v>Mirai</c:v>
                </c:pt>
                <c:pt idx="5">
                  <c:v>Recon</c:v>
                </c:pt>
                <c:pt idx="6">
                  <c:v>Spoofing</c:v>
                </c:pt>
                <c:pt idx="7">
                  <c:v>Web-based</c:v>
                </c:pt>
              </c:strCache>
            </c:strRef>
          </c:cat>
          <c:val>
            <c:numRef>
              <c:f>Per_Class_F1!$I$5:$I$12</c:f>
              <c:numCache>
                <c:formatCode>0.00</c:formatCode>
                <c:ptCount val="8"/>
                <c:pt idx="0">
                  <c:v>0.54</c:v>
                </c:pt>
                <c:pt idx="1">
                  <c:v>0.08</c:v>
                </c:pt>
                <c:pt idx="2">
                  <c:v>0.59</c:v>
                </c:pt>
                <c:pt idx="3">
                  <c:v>0.6</c:v>
                </c:pt>
                <c:pt idx="4">
                  <c:v>0.96</c:v>
                </c:pt>
                <c:pt idx="5">
                  <c:v>0.43</c:v>
                </c:pt>
                <c:pt idx="6">
                  <c:v>0.36</c:v>
                </c:pt>
                <c:pt idx="7">
                  <c:v>0.09</c:v>
                </c:pt>
              </c:numCache>
            </c:numRef>
          </c:val>
        </c:ser>
        <c:ser>
          <c:idx val="6"/>
          <c:order val="6"/>
          <c:tx>
            <c:strRef>
              <c:f>Per_Class_F1!J4</c:f>
              <c:strCache>
                <c:ptCount val="1"/>
                <c:pt idx="0">
                  <c:v>Transformer</c:v>
                </c:pt>
              </c:strCache>
            </c:strRef>
          </c:tx>
          <c:spPr>
            <a:solidFill>
              <a:srgbClr val="93a9ce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Per_Class_F1!$A$5:$A$12</c:f>
              <c:strCache>
                <c:ptCount val="8"/>
                <c:pt idx="0">
                  <c:v>Benign</c:v>
                </c:pt>
                <c:pt idx="1">
                  <c:v>BruteForce</c:v>
                </c:pt>
                <c:pt idx="2">
                  <c:v>DDoS</c:v>
                </c:pt>
                <c:pt idx="3">
                  <c:v>DoS</c:v>
                </c:pt>
                <c:pt idx="4">
                  <c:v>Mirai</c:v>
                </c:pt>
                <c:pt idx="5">
                  <c:v>Recon</c:v>
                </c:pt>
                <c:pt idx="6">
                  <c:v>Spoofing</c:v>
                </c:pt>
                <c:pt idx="7">
                  <c:v>Web-based</c:v>
                </c:pt>
              </c:strCache>
            </c:strRef>
          </c:cat>
          <c:val>
            <c:numRef>
              <c:f>Per_Class_F1!$J$5:$J$12</c:f>
              <c:numCache>
                <c:formatCode>0.00</c:formatCode>
                <c:ptCount val="8"/>
                <c:pt idx="0">
                  <c:v>0.66</c:v>
                </c:pt>
                <c:pt idx="1">
                  <c:v>0.21</c:v>
                </c:pt>
                <c:pt idx="2">
                  <c:v>0.83</c:v>
                </c:pt>
                <c:pt idx="3">
                  <c:v>0.73</c:v>
                </c:pt>
                <c:pt idx="4">
                  <c:v>1</c:v>
                </c:pt>
                <c:pt idx="5">
                  <c:v>0.54</c:v>
                </c:pt>
                <c:pt idx="6">
                  <c:v>0.82</c:v>
                </c:pt>
                <c:pt idx="7">
                  <c:v>0.23</c:v>
                </c:pt>
              </c:numCache>
            </c:numRef>
          </c:val>
        </c:ser>
        <c:gapWidth val="150"/>
        <c:overlap val="0"/>
        <c:axId val="82397379"/>
        <c:axId val="75168171"/>
      </c:barChart>
      <c:catAx>
        <c:axId val="823973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5168171"/>
        <c:crosses val="autoZero"/>
        <c:auto val="1"/>
        <c:lblAlgn val="ctr"/>
        <c:lblOffset val="100"/>
        <c:noMultiLvlLbl val="0"/>
      </c:catAx>
      <c:valAx>
        <c:axId val="75168171"/>
        <c:scaling>
          <c:orientation val="minMax"/>
          <c:max val="1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2397379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23</xdr:row>
      <xdr:rowOff>160560</xdr:rowOff>
    </xdr:from>
    <xdr:to>
      <xdr:col>4</xdr:col>
      <xdr:colOff>1960920</xdr:colOff>
      <xdr:row>39</xdr:row>
      <xdr:rowOff>172080</xdr:rowOff>
    </xdr:to>
    <xdr:graphicFrame>
      <xdr:nvGraphicFramePr>
        <xdr:cNvPr id="0" name="Chart 1"/>
        <xdr:cNvGraphicFramePr/>
      </xdr:nvGraphicFramePr>
      <xdr:xfrm>
        <a:off x="0" y="4991040"/>
        <a:ext cx="611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23</xdr:row>
      <xdr:rowOff>160560</xdr:rowOff>
    </xdr:from>
    <xdr:to>
      <xdr:col>13</xdr:col>
      <xdr:colOff>183960</xdr:colOff>
      <xdr:row>39</xdr:row>
      <xdr:rowOff>172080</xdr:rowOff>
    </xdr:to>
    <xdr:graphicFrame>
      <xdr:nvGraphicFramePr>
        <xdr:cNvPr id="1" name="Chart 2"/>
        <xdr:cNvGraphicFramePr/>
      </xdr:nvGraphicFramePr>
      <xdr:xfrm>
        <a:off x="7894440" y="4991040"/>
        <a:ext cx="539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18</xdr:row>
      <xdr:rowOff>160560</xdr:rowOff>
    </xdr:from>
    <xdr:to>
      <xdr:col>8</xdr:col>
      <xdr:colOff>252000</xdr:colOff>
      <xdr:row>35</xdr:row>
      <xdr:rowOff>161640</xdr:rowOff>
    </xdr:to>
    <xdr:graphicFrame>
      <xdr:nvGraphicFramePr>
        <xdr:cNvPr id="2" name="Chart 1"/>
        <xdr:cNvGraphicFramePr/>
      </xdr:nvGraphicFramePr>
      <xdr:xfrm>
        <a:off x="0" y="3828960"/>
        <a:ext cx="863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3" min="2" style="0" width="12"/>
    <col collapsed="false" customWidth="true" hidden="false" outlineLevel="0" max="4" min="4" style="0" width="11"/>
    <col collapsed="false" customWidth="true" hidden="false" outlineLevel="0" max="5" min="5" style="0" width="30"/>
    <col collapsed="false" customWidth="true" hidden="false" outlineLevel="0" max="6" min="6" style="0" width="12"/>
    <col collapsed="false" customWidth="true" hidden="false" outlineLevel="0" max="7" min="7" style="0" width="11"/>
    <col collapsed="false" customWidth="true" hidden="false" outlineLevel="0" max="9" min="8" style="0" width="13"/>
    <col collapsed="false" customWidth="true" hidden="false" outlineLevel="0" max="11" min="10" style="0" width="11"/>
    <col collapsed="false" customWidth="true" hidden="false" outlineLevel="0" max="12" min="12" style="0" width="12"/>
    <col collapsed="false" customWidth="true" hidden="false" outlineLevel="0" max="15" min="13" style="0" width="1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1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</row>
    <row r="5" customFormat="false" ht="15" hidden="false" customHeight="false" outlineLevel="0" collapsed="false">
      <c r="A5" s="4" t="s">
        <v>17</v>
      </c>
      <c r="B5" s="5" t="s">
        <v>18</v>
      </c>
      <c r="C5" s="6" t="n">
        <v>15720</v>
      </c>
      <c r="D5" s="7" t="n">
        <v>0.7544</v>
      </c>
      <c r="E5" s="7" t="n">
        <v>0.6403</v>
      </c>
      <c r="F5" s="7" t="n">
        <v>0.7031</v>
      </c>
      <c r="G5" s="7" t="n">
        <v>0.6346</v>
      </c>
      <c r="H5" s="7" t="n">
        <v>0.9651</v>
      </c>
      <c r="I5" s="8" t="n">
        <v>19.48</v>
      </c>
      <c r="J5" s="9" t="n">
        <f aca="false">RANK(D5,$D$5:$D$11,0)</f>
        <v>1</v>
      </c>
      <c r="K5" s="9" t="n">
        <f aca="false">RANK(G5,$G$5:$G$11,0)</f>
        <v>1</v>
      </c>
      <c r="L5" s="9" t="n">
        <f aca="false">RANK(I5,$I$5:$I$11,1)</f>
        <v>2</v>
      </c>
      <c r="M5" s="10" t="n">
        <f aca="false">(D5-$D$5)*100</f>
        <v>0</v>
      </c>
      <c r="N5" s="10" t="n">
        <f aca="false">(G5-$G$5)*100</f>
        <v>0</v>
      </c>
      <c r="O5" s="11" t="n">
        <f aca="false">I5/$I$5</f>
        <v>1</v>
      </c>
    </row>
    <row r="6" customFormat="false" ht="15" hidden="false" customHeight="false" outlineLevel="0" collapsed="false">
      <c r="A6" s="12" t="s">
        <v>19</v>
      </c>
      <c r="B6" s="13" t="s">
        <v>18</v>
      </c>
      <c r="C6" s="14" t="n">
        <v>15720</v>
      </c>
      <c r="D6" s="15" t="n">
        <v>0.7373</v>
      </c>
      <c r="E6" s="15" t="n">
        <v>0.6391</v>
      </c>
      <c r="F6" s="15" t="n">
        <v>0.6902</v>
      </c>
      <c r="G6" s="15" t="n">
        <v>0.621</v>
      </c>
      <c r="H6" s="15" t="n">
        <v>0.9627</v>
      </c>
      <c r="I6" s="16" t="n">
        <v>21.84</v>
      </c>
      <c r="J6" s="17" t="n">
        <f aca="false">RANK(D6,$D$5:$D$11,0)</f>
        <v>4</v>
      </c>
      <c r="K6" s="17" t="n">
        <f aca="false">RANK(G6,$G$5:$G$11,0)</f>
        <v>5</v>
      </c>
      <c r="L6" s="17" t="n">
        <f aca="false">RANK(I6,$I$5:$I$11,1)</f>
        <v>3</v>
      </c>
      <c r="M6" s="18" t="n">
        <f aca="false">(D6-$D$5)*100</f>
        <v>-1.71</v>
      </c>
      <c r="N6" s="18" t="n">
        <f aca="false">(G6-$G$5)*100</f>
        <v>-1.36000000000001</v>
      </c>
      <c r="O6" s="19" t="n">
        <f aca="false">I6/$I$5</f>
        <v>1.1211498973306</v>
      </c>
    </row>
    <row r="7" customFormat="false" ht="15" hidden="false" customHeight="false" outlineLevel="0" collapsed="false">
      <c r="A7" s="4" t="s">
        <v>20</v>
      </c>
      <c r="B7" s="5" t="s">
        <v>18</v>
      </c>
      <c r="C7" s="6" t="n">
        <v>15720</v>
      </c>
      <c r="D7" s="7" t="n">
        <v>0.7508</v>
      </c>
      <c r="E7" s="7" t="n">
        <v>0.6343</v>
      </c>
      <c r="F7" s="7" t="n">
        <v>0.6896</v>
      </c>
      <c r="G7" s="7" t="n">
        <v>0.6305</v>
      </c>
      <c r="H7" s="7" t="n">
        <v>0.964</v>
      </c>
      <c r="I7" s="8" t="n">
        <v>18.46</v>
      </c>
      <c r="J7" s="9" t="n">
        <f aca="false">RANK(D7,$D$5:$D$11,0)</f>
        <v>2</v>
      </c>
      <c r="K7" s="9" t="n">
        <f aca="false">RANK(G7,$G$5:$G$11,0)</f>
        <v>2</v>
      </c>
      <c r="L7" s="9" t="n">
        <f aca="false">RANK(I7,$I$5:$I$11,1)</f>
        <v>1</v>
      </c>
      <c r="M7" s="10" t="n">
        <f aca="false">(D7-$D$5)*100</f>
        <v>-0.359999999999994</v>
      </c>
      <c r="N7" s="10" t="n">
        <f aca="false">(G7-$G$5)*100</f>
        <v>-0.41000000000001</v>
      </c>
      <c r="O7" s="11" t="n">
        <f aca="false">I7/$I$5</f>
        <v>0.947638603696099</v>
      </c>
    </row>
    <row r="8" customFormat="false" ht="15" hidden="false" customHeight="false" outlineLevel="0" collapsed="false">
      <c r="A8" s="12" t="s">
        <v>21</v>
      </c>
      <c r="B8" s="13" t="s">
        <v>18</v>
      </c>
      <c r="C8" s="14" t="n">
        <v>16232</v>
      </c>
      <c r="D8" s="15" t="n">
        <v>0.7407</v>
      </c>
      <c r="E8" s="15" t="n">
        <v>0.6451</v>
      </c>
      <c r="F8" s="15" t="n">
        <v>0.6898</v>
      </c>
      <c r="G8" s="15" t="n">
        <v>0.6226</v>
      </c>
      <c r="H8" s="15" t="n">
        <v>0.9633</v>
      </c>
      <c r="I8" s="16" t="n">
        <v>25.7</v>
      </c>
      <c r="J8" s="17" t="n">
        <f aca="false">RANK(D8,$D$5:$D$11,0)</f>
        <v>3</v>
      </c>
      <c r="K8" s="17" t="n">
        <f aca="false">RANK(G8,$G$5:$G$11,0)</f>
        <v>4</v>
      </c>
      <c r="L8" s="17" t="n">
        <f aca="false">RANK(I8,$I$5:$I$11,1)</f>
        <v>4</v>
      </c>
      <c r="M8" s="18" t="n">
        <f aca="false">(D8-$D$5)*100</f>
        <v>-1.36999999999999</v>
      </c>
      <c r="N8" s="18" t="n">
        <f aca="false">(G8-$G$5)*100</f>
        <v>-1.2</v>
      </c>
      <c r="O8" s="19" t="n">
        <f aca="false">I8/$I$5</f>
        <v>1.31930184804928</v>
      </c>
    </row>
    <row r="9" customFormat="false" ht="15" hidden="false" customHeight="false" outlineLevel="0" collapsed="false">
      <c r="A9" s="4" t="s">
        <v>22</v>
      </c>
      <c r="B9" s="5" t="s">
        <v>23</v>
      </c>
      <c r="C9" s="6" t="n">
        <v>24904</v>
      </c>
      <c r="D9" s="7" t="n">
        <v>0.6982</v>
      </c>
      <c r="E9" s="7" t="n">
        <v>0.6034</v>
      </c>
      <c r="F9" s="7" t="n">
        <v>0.6551</v>
      </c>
      <c r="G9" s="7" t="n">
        <v>0.5868</v>
      </c>
      <c r="H9" s="7" t="n">
        <v>0.9576</v>
      </c>
      <c r="I9" s="8" t="n">
        <v>668.69</v>
      </c>
      <c r="J9" s="9" t="n">
        <f aca="false">RANK(D9,$D$5:$D$11,0)</f>
        <v>6</v>
      </c>
      <c r="K9" s="9" t="n">
        <f aca="false">RANK(G9,$G$5:$G$11,0)</f>
        <v>6</v>
      </c>
      <c r="L9" s="9" t="n">
        <f aca="false">RANK(I9,$I$5:$I$11,1)</f>
        <v>6</v>
      </c>
      <c r="M9" s="10" t="n">
        <f aca="false">(D9-$D$5)*100</f>
        <v>-5.61999999999999</v>
      </c>
      <c r="N9" s="10" t="n">
        <f aca="false">(G9-$G$5)*100</f>
        <v>-4.78000000000001</v>
      </c>
      <c r="O9" s="11" t="n">
        <f aca="false">I9/$I$5</f>
        <v>34.3270020533881</v>
      </c>
    </row>
    <row r="10" customFormat="false" ht="15" hidden="false" customHeight="false" outlineLevel="0" collapsed="false">
      <c r="A10" s="12" t="s">
        <v>24</v>
      </c>
      <c r="B10" s="13" t="s">
        <v>23</v>
      </c>
      <c r="C10" s="14" t="n">
        <v>31944</v>
      </c>
      <c r="D10" s="15" t="n">
        <v>0.5524</v>
      </c>
      <c r="E10" s="15" t="n">
        <v>0.522</v>
      </c>
      <c r="F10" s="15" t="n">
        <v>0.5143</v>
      </c>
      <c r="G10" s="15" t="n">
        <v>0.4571</v>
      </c>
      <c r="H10" s="15" t="n">
        <v>0.9373</v>
      </c>
      <c r="I10" s="16" t="n">
        <v>173.61</v>
      </c>
      <c r="J10" s="17" t="n">
        <f aca="false">RANK(D10,$D$5:$D$11,0)</f>
        <v>7</v>
      </c>
      <c r="K10" s="17" t="n">
        <f aca="false">RANK(G10,$G$5:$G$11,0)</f>
        <v>7</v>
      </c>
      <c r="L10" s="17" t="n">
        <f aca="false">RANK(I10,$I$5:$I$11,1)</f>
        <v>5</v>
      </c>
      <c r="M10" s="18" t="n">
        <f aca="false">(D10-$D$5)*100</f>
        <v>-20.2</v>
      </c>
      <c r="N10" s="18" t="n">
        <f aca="false">(G10-$G$5)*100</f>
        <v>-17.75</v>
      </c>
      <c r="O10" s="19" t="n">
        <f aca="false">I10/$I$5</f>
        <v>8.91221765913758</v>
      </c>
    </row>
    <row r="11" customFormat="false" ht="15" hidden="false" customHeight="false" outlineLevel="0" collapsed="false">
      <c r="A11" s="4" t="s">
        <v>25</v>
      </c>
      <c r="B11" s="5" t="s">
        <v>26</v>
      </c>
      <c r="C11" s="6" t="n">
        <v>76808</v>
      </c>
      <c r="D11" s="7" t="n">
        <v>0.7253</v>
      </c>
      <c r="E11" s="7" t="n">
        <v>0.6539</v>
      </c>
      <c r="F11" s="7" t="n">
        <v>0.7105</v>
      </c>
      <c r="G11" s="7" t="n">
        <v>0.6263</v>
      </c>
      <c r="H11" s="7" t="n">
        <v>0.9613</v>
      </c>
      <c r="I11" s="8" t="n">
        <v>3497.91</v>
      </c>
      <c r="J11" s="9" t="n">
        <f aca="false">RANK(D11,$D$5:$D$11,0)</f>
        <v>5</v>
      </c>
      <c r="K11" s="9" t="n">
        <f aca="false">RANK(G11,$G$5:$G$11,0)</f>
        <v>3</v>
      </c>
      <c r="L11" s="9" t="n">
        <f aca="false">RANK(I11,$I$5:$I$11,1)</f>
        <v>7</v>
      </c>
      <c r="M11" s="10" t="n">
        <f aca="false">(D11-$D$5)*100</f>
        <v>-2.91</v>
      </c>
      <c r="N11" s="10" t="n">
        <f aca="false">(G11-$G$5)*100</f>
        <v>-0.830000000000009</v>
      </c>
      <c r="O11" s="11" t="n">
        <f aca="false">I11/$I$5</f>
        <v>179.564168377823</v>
      </c>
    </row>
    <row r="13" customFormat="false" ht="15" hidden="false" customHeight="false" outlineLevel="0" collapsed="false">
      <c r="A13" s="20" t="s">
        <v>27</v>
      </c>
      <c r="E13" s="20" t="s">
        <v>28</v>
      </c>
    </row>
    <row r="14" customFormat="false" ht="31.5" hidden="false" customHeight="true" outlineLevel="0" collapsed="false">
      <c r="A14" s="3" t="s">
        <v>29</v>
      </c>
      <c r="B14" s="3" t="s">
        <v>30</v>
      </c>
      <c r="C14" s="3" t="s">
        <v>2</v>
      </c>
      <c r="E14" s="3" t="s">
        <v>31</v>
      </c>
      <c r="F14" s="3" t="s">
        <v>32</v>
      </c>
      <c r="G14" s="3" t="s">
        <v>33</v>
      </c>
      <c r="H14" s="3" t="s">
        <v>34</v>
      </c>
      <c r="I14" s="3" t="s">
        <v>35</v>
      </c>
    </row>
    <row r="15" customFormat="false" ht="15" hidden="false" customHeight="false" outlineLevel="0" collapsed="false">
      <c r="A15" s="21" t="s">
        <v>5</v>
      </c>
      <c r="B15" s="22" t="n">
        <f aca="false">MAX(D$5:D$11)</f>
        <v>0.7544</v>
      </c>
      <c r="C15" s="9" t="str">
        <f aca="false">INDEX($A$5:$A$11,MATCH(B15,D$5:D$11,0))</f>
        <v>DNN</v>
      </c>
      <c r="E15" s="21" t="s">
        <v>36</v>
      </c>
      <c r="F15" s="23" t="n">
        <f aca="false">(D11-D9)*100</f>
        <v>2.70999999999999</v>
      </c>
      <c r="G15" s="23" t="n">
        <f aca="false">(G11-G9)*100</f>
        <v>3.95</v>
      </c>
      <c r="H15" s="23" t="n">
        <f aca="false">(F11-F9)*100</f>
        <v>5.54</v>
      </c>
      <c r="I15" s="11" t="n">
        <f aca="false">I11/I9</f>
        <v>5.23098894854118</v>
      </c>
    </row>
    <row r="16" customFormat="false" ht="15" hidden="false" customHeight="false" outlineLevel="0" collapsed="false">
      <c r="A16" s="24" t="s">
        <v>6</v>
      </c>
      <c r="B16" s="25" t="n">
        <f aca="false">MAX(E$5:E$11)</f>
        <v>0.6539</v>
      </c>
      <c r="C16" s="17" t="str">
        <f aca="false">INDEX($A$5:$A$11,MATCH(B16,E$5:E$11,0))</f>
        <v>Transformer</v>
      </c>
      <c r="E16" s="24" t="s">
        <v>37</v>
      </c>
      <c r="F16" s="26" t="n">
        <f aca="false">(D9-D10)*100</f>
        <v>14.58</v>
      </c>
      <c r="G16" s="26" t="n">
        <f aca="false">(G9-G10)*100</f>
        <v>12.97</v>
      </c>
      <c r="H16" s="26" t="n">
        <f aca="false">(F9-F10)*100</f>
        <v>14.08</v>
      </c>
      <c r="I16" s="19" t="n">
        <f aca="false">I9/I10</f>
        <v>3.85167905074592</v>
      </c>
    </row>
    <row r="17" customFormat="false" ht="15" hidden="false" customHeight="false" outlineLevel="0" collapsed="false">
      <c r="A17" s="21" t="s">
        <v>7</v>
      </c>
      <c r="B17" s="22" t="n">
        <f aca="false">MAX(F$5:F$11)</f>
        <v>0.7105</v>
      </c>
      <c r="C17" s="9" t="str">
        <f aca="false">INDEX($A$5:$A$11,MATCH(B17,F$5:F$11,0))</f>
        <v>Transformer</v>
      </c>
      <c r="E17" s="21" t="s">
        <v>38</v>
      </c>
      <c r="F17" s="23" t="n">
        <f aca="false">(D11-D5)*100</f>
        <v>-2.91</v>
      </c>
      <c r="G17" s="23" t="n">
        <f aca="false">(G11-G5)*100</f>
        <v>-0.830000000000009</v>
      </c>
      <c r="H17" s="23" t="n">
        <f aca="false">(F11-F5)*100</f>
        <v>0.740000000000007</v>
      </c>
      <c r="I17" s="11" t="n">
        <f aca="false">I11/I5</f>
        <v>179.564168377823</v>
      </c>
    </row>
    <row r="18" customFormat="false" ht="15" hidden="false" customHeight="false" outlineLevel="0" collapsed="false">
      <c r="A18" s="24" t="s">
        <v>8</v>
      </c>
      <c r="B18" s="25" t="n">
        <f aca="false">MAX(G$5:G$11)</f>
        <v>0.6346</v>
      </c>
      <c r="C18" s="17" t="str">
        <f aca="false">INDEX($A$5:$A$11,MATCH(B18,G$5:G$11,0))</f>
        <v>DNN</v>
      </c>
      <c r="E18" s="24" t="s">
        <v>39</v>
      </c>
      <c r="F18" s="26" t="n">
        <f aca="false">(D9-D5)*100</f>
        <v>-5.61999999999999</v>
      </c>
      <c r="G18" s="26" t="n">
        <f aca="false">(G9-G5)*100</f>
        <v>-4.78000000000001</v>
      </c>
      <c r="H18" s="26" t="n">
        <f aca="false">(F9-F5)*100</f>
        <v>-4.79999999999999</v>
      </c>
      <c r="I18" s="19" t="n">
        <f aca="false">I9/I5</f>
        <v>34.3270020533881</v>
      </c>
    </row>
    <row r="19" customFormat="false" ht="15" hidden="false" customHeight="false" outlineLevel="0" collapsed="false">
      <c r="A19" s="21" t="s">
        <v>9</v>
      </c>
      <c r="B19" s="22" t="n">
        <f aca="false">MAX(H$5:H$11)</f>
        <v>0.9651</v>
      </c>
      <c r="C19" s="9" t="str">
        <f aca="false">INDEX($A$5:$A$11,MATCH(B19,H$5:H$11,0))</f>
        <v>DNN</v>
      </c>
    </row>
    <row r="20" customFormat="false" ht="15" hidden="false" customHeight="false" outlineLevel="0" collapsed="false">
      <c r="A20" s="24" t="s">
        <v>40</v>
      </c>
      <c r="B20" s="27" t="n">
        <f aca="false">MIN(I$5:I$11)</f>
        <v>18.46</v>
      </c>
      <c r="C20" s="17" t="str">
        <f aca="false">INDEX($A$5:$A$11,MATCH(B20,I$5:I$11,0))</f>
        <v>DNN + L2</v>
      </c>
    </row>
    <row r="22" customFormat="false" ht="15" hidden="false" customHeight="true" outlineLevel="0" collapsed="false">
      <c r="A22" s="28" t="s">
        <v>41</v>
      </c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</row>
    <row r="23" customFormat="false" ht="15" hidden="false" customHeight="false" outlineLevel="0" collapsed="false">
      <c r="A23" s="28"/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</row>
  </sheetData>
  <mergeCells count="1">
    <mergeCell ref="A22:O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10" min="2" style="0" width="13"/>
  </cols>
  <sheetData>
    <row r="1" customFormat="false" ht="17.35" hidden="false" customHeight="false" outlineLevel="0" collapsed="false">
      <c r="A1" s="1" t="s">
        <v>42</v>
      </c>
    </row>
    <row r="2" customFormat="false" ht="15" hidden="false" customHeight="false" outlineLevel="0" collapsed="false">
      <c r="A2" s="2" t="s">
        <v>43</v>
      </c>
    </row>
    <row r="4" customFormat="false" ht="31.5" hidden="false" customHeight="true" outlineLevel="0" collapsed="false">
      <c r="A4" s="3" t="s">
        <v>44</v>
      </c>
      <c r="B4" s="3" t="s">
        <v>45</v>
      </c>
      <c r="C4" s="3" t="s">
        <v>46</v>
      </c>
      <c r="D4" s="3" t="s">
        <v>17</v>
      </c>
      <c r="E4" s="3" t="s">
        <v>19</v>
      </c>
      <c r="F4" s="3" t="s">
        <v>20</v>
      </c>
      <c r="G4" s="3" t="s">
        <v>21</v>
      </c>
      <c r="H4" s="3" t="s">
        <v>22</v>
      </c>
      <c r="I4" s="3" t="s">
        <v>24</v>
      </c>
      <c r="J4" s="3" t="s">
        <v>25</v>
      </c>
    </row>
    <row r="5" customFormat="false" ht="15" hidden="false" customHeight="false" outlineLevel="0" collapsed="false">
      <c r="A5" s="29" t="s">
        <v>47</v>
      </c>
      <c r="B5" s="6" t="n">
        <v>39998</v>
      </c>
      <c r="C5" s="30" t="n">
        <f aca="false">B5/$B$13</f>
        <v>0.148988873699541</v>
      </c>
      <c r="D5" s="31" t="n">
        <v>0.66</v>
      </c>
      <c r="E5" s="31" t="n">
        <v>0.68</v>
      </c>
      <c r="F5" s="31" t="n">
        <v>0.66</v>
      </c>
      <c r="G5" s="31" t="n">
        <v>0.67</v>
      </c>
      <c r="H5" s="31" t="n">
        <v>0.58</v>
      </c>
      <c r="I5" s="31" t="n">
        <v>0.54</v>
      </c>
      <c r="J5" s="31" t="n">
        <v>0.66</v>
      </c>
    </row>
    <row r="6" customFormat="false" ht="15" hidden="false" customHeight="false" outlineLevel="0" collapsed="false">
      <c r="A6" s="32" t="s">
        <v>48</v>
      </c>
      <c r="B6" s="14" t="n">
        <v>2607</v>
      </c>
      <c r="C6" s="33" t="n">
        <f aca="false">B6/$B$13</f>
        <v>0.00971083538513687</v>
      </c>
      <c r="D6" s="34" t="n">
        <v>0.23</v>
      </c>
      <c r="E6" s="34" t="n">
        <v>0.23</v>
      </c>
      <c r="F6" s="34" t="n">
        <v>0.27</v>
      </c>
      <c r="G6" s="34" t="n">
        <v>0.25</v>
      </c>
      <c r="H6" s="34" t="n">
        <v>0.2</v>
      </c>
      <c r="I6" s="34" t="n">
        <v>0.08</v>
      </c>
      <c r="J6" s="34" t="n">
        <v>0.21</v>
      </c>
    </row>
    <row r="7" customFormat="false" ht="15" hidden="false" customHeight="false" outlineLevel="0" collapsed="false">
      <c r="A7" s="29" t="s">
        <v>49</v>
      </c>
      <c r="B7" s="6" t="n">
        <v>90353</v>
      </c>
      <c r="C7" s="30" t="n">
        <f aca="false">B7/$B$13</f>
        <v>0.33655662046539</v>
      </c>
      <c r="D7" s="31" t="n">
        <v>0.88</v>
      </c>
      <c r="E7" s="31" t="n">
        <v>0.86</v>
      </c>
      <c r="F7" s="31" t="n">
        <v>0.88</v>
      </c>
      <c r="G7" s="31" t="n">
        <v>0.88</v>
      </c>
      <c r="H7" s="31" t="n">
        <v>0.83</v>
      </c>
      <c r="I7" s="31" t="n">
        <v>0.59</v>
      </c>
      <c r="J7" s="31" t="n">
        <v>0.83</v>
      </c>
    </row>
    <row r="8" customFormat="false" ht="15" hidden="false" customHeight="false" outlineLevel="0" collapsed="false">
      <c r="A8" s="32" t="s">
        <v>50</v>
      </c>
      <c r="B8" s="14" t="n">
        <v>40067</v>
      </c>
      <c r="C8" s="33" t="n">
        <f aca="false">B8/$B$13</f>
        <v>0.149245892357606</v>
      </c>
      <c r="D8" s="34" t="n">
        <v>0.77</v>
      </c>
      <c r="E8" s="34" t="n">
        <v>0.75</v>
      </c>
      <c r="F8" s="34" t="n">
        <v>0.75</v>
      </c>
      <c r="G8" s="34" t="n">
        <v>0.76</v>
      </c>
      <c r="H8" s="34" t="n">
        <v>0.72</v>
      </c>
      <c r="I8" s="34" t="n">
        <v>0.6</v>
      </c>
      <c r="J8" s="34" t="n">
        <v>0.73</v>
      </c>
    </row>
    <row r="9" customFormat="false" ht="15" hidden="false" customHeight="false" outlineLevel="0" collapsed="false">
      <c r="A9" s="29" t="s">
        <v>51</v>
      </c>
      <c r="B9" s="6" t="n">
        <v>30094</v>
      </c>
      <c r="C9" s="30" t="n">
        <f aca="false">B9/$B$13</f>
        <v>0.11209738399705</v>
      </c>
      <c r="D9" s="31" t="n">
        <v>1</v>
      </c>
      <c r="E9" s="31" t="n">
        <v>1</v>
      </c>
      <c r="F9" s="31" t="n">
        <v>1</v>
      </c>
      <c r="G9" s="31" t="n">
        <v>1</v>
      </c>
      <c r="H9" s="31" t="n">
        <v>0.99</v>
      </c>
      <c r="I9" s="31" t="n">
        <v>0.96</v>
      </c>
      <c r="J9" s="31" t="n">
        <v>1</v>
      </c>
    </row>
    <row r="10" customFormat="false" ht="15" hidden="false" customHeight="false" outlineLevel="0" collapsed="false">
      <c r="A10" s="32" t="s">
        <v>52</v>
      </c>
      <c r="B10" s="14" t="n">
        <v>40380</v>
      </c>
      <c r="C10" s="33" t="n">
        <f aca="false">B10/$B$13</f>
        <v>0.150411788589117</v>
      </c>
      <c r="D10" s="34" t="n">
        <v>0.61</v>
      </c>
      <c r="E10" s="34" t="n">
        <v>0.55</v>
      </c>
      <c r="F10" s="34" t="n">
        <v>0.59</v>
      </c>
      <c r="G10" s="34" t="n">
        <v>0.55</v>
      </c>
      <c r="H10" s="34" t="n">
        <v>0.56</v>
      </c>
      <c r="I10" s="34" t="n">
        <v>0.43</v>
      </c>
      <c r="J10" s="34" t="n">
        <v>0.54</v>
      </c>
    </row>
    <row r="11" customFormat="false" ht="15" hidden="false" customHeight="false" outlineLevel="0" collapsed="false">
      <c r="A11" s="29" t="s">
        <v>53</v>
      </c>
      <c r="B11" s="6" t="n">
        <v>19956</v>
      </c>
      <c r="C11" s="30" t="n">
        <f aca="false">B11/$B$13</f>
        <v>0.0743342658019913</v>
      </c>
      <c r="D11" s="31" t="n">
        <v>0.68</v>
      </c>
      <c r="E11" s="31" t="n">
        <v>0.67</v>
      </c>
      <c r="F11" s="31" t="n">
        <v>0.66</v>
      </c>
      <c r="G11" s="31" t="n">
        <v>0.67</v>
      </c>
      <c r="H11" s="31" t="n">
        <v>0.63</v>
      </c>
      <c r="I11" s="31" t="n">
        <v>0.36</v>
      </c>
      <c r="J11" s="31" t="n">
        <v>0.82</v>
      </c>
    </row>
    <row r="12" customFormat="false" ht="15" hidden="false" customHeight="false" outlineLevel="0" collapsed="false">
      <c r="A12" s="32" t="s">
        <v>54</v>
      </c>
      <c r="B12" s="14" t="n">
        <v>5008</v>
      </c>
      <c r="C12" s="33" t="n">
        <f aca="false">B12/$B$13</f>
        <v>0.0186543397041678</v>
      </c>
      <c r="D12" s="34" t="n">
        <v>0.25</v>
      </c>
      <c r="E12" s="34" t="n">
        <v>0.23</v>
      </c>
      <c r="F12" s="34" t="n">
        <v>0.24</v>
      </c>
      <c r="G12" s="34" t="n">
        <v>0.21</v>
      </c>
      <c r="H12" s="34" t="n">
        <v>0.18</v>
      </c>
      <c r="I12" s="34" t="n">
        <v>0.09</v>
      </c>
      <c r="J12" s="34" t="n">
        <v>0.23</v>
      </c>
    </row>
    <row r="13" customFormat="false" ht="15" hidden="false" customHeight="false" outlineLevel="0" collapsed="false">
      <c r="A13" s="35" t="s">
        <v>55</v>
      </c>
      <c r="B13" s="36" t="n">
        <f aca="false">SUM(B5:B12)</f>
        <v>268463</v>
      </c>
      <c r="C13" s="37" t="n">
        <f aca="false">SUM(C5:C12)</f>
        <v>1</v>
      </c>
      <c r="D13" s="38"/>
      <c r="E13" s="38"/>
      <c r="F13" s="38"/>
      <c r="G13" s="38"/>
      <c r="H13" s="38"/>
      <c r="I13" s="38"/>
      <c r="J13" s="38"/>
    </row>
    <row r="14" customFormat="false" ht="15" hidden="false" customHeight="false" outlineLevel="0" collapsed="false">
      <c r="A14" s="35" t="s">
        <v>56</v>
      </c>
      <c r="B14" s="36"/>
      <c r="C14" s="37"/>
      <c r="D14" s="38" t="n">
        <f aca="false">MIN(D5:D12)</f>
        <v>0.23</v>
      </c>
      <c r="E14" s="38" t="n">
        <f aca="false">MIN(E5:E12)</f>
        <v>0.23</v>
      </c>
      <c r="F14" s="38" t="n">
        <f aca="false">MIN(F5:F12)</f>
        <v>0.24</v>
      </c>
      <c r="G14" s="38" t="n">
        <f aca="false">MIN(G5:G12)</f>
        <v>0.21</v>
      </c>
      <c r="H14" s="38" t="n">
        <f aca="false">MIN(H5:H12)</f>
        <v>0.18</v>
      </c>
      <c r="I14" s="38" t="n">
        <f aca="false">MIN(I5:I12)</f>
        <v>0.08</v>
      </c>
      <c r="J14" s="38" t="n">
        <f aca="false">MIN(J5:J12)</f>
        <v>0.21</v>
      </c>
    </row>
    <row r="15" customFormat="false" ht="15" hidden="false" customHeight="false" outlineLevel="0" collapsed="false">
      <c r="A15" s="35" t="s">
        <v>57</v>
      </c>
      <c r="B15" s="36"/>
      <c r="C15" s="37"/>
      <c r="D15" s="39" t="n">
        <f aca="false">COUNTIF(D5:D12,"&lt;0.3")</f>
        <v>2</v>
      </c>
      <c r="E15" s="39" t="n">
        <f aca="false">COUNTIF(E5:E12,"&lt;0.3")</f>
        <v>2</v>
      </c>
      <c r="F15" s="39" t="n">
        <f aca="false">COUNTIF(F5:F12,"&lt;0.3")</f>
        <v>2</v>
      </c>
      <c r="G15" s="39" t="n">
        <f aca="false">COUNTIF(G5:G12,"&lt;0.3")</f>
        <v>2</v>
      </c>
      <c r="H15" s="39" t="n">
        <f aca="false">COUNTIF(H5:H12,"&lt;0.3")</f>
        <v>2</v>
      </c>
      <c r="I15" s="39" t="n">
        <f aca="false">COUNTIF(I5:I12,"&lt;0.3")</f>
        <v>2</v>
      </c>
      <c r="J15" s="39" t="n">
        <f aca="false">COUNTIF(J5:J12,"&lt;0.3")</f>
        <v>2</v>
      </c>
    </row>
    <row r="16" customFormat="false" ht="15" hidden="false" customHeight="false" outlineLevel="0" collapsed="false">
      <c r="A16" s="35" t="s">
        <v>58</v>
      </c>
      <c r="B16" s="36"/>
      <c r="C16" s="37"/>
      <c r="D16" s="38" t="n">
        <f aca="false">AVERAGE(D5:D12)</f>
        <v>0.635</v>
      </c>
      <c r="E16" s="38" t="n">
        <f aca="false">AVERAGE(E5:E12)</f>
        <v>0.62125</v>
      </c>
      <c r="F16" s="38" t="n">
        <f aca="false">AVERAGE(F5:F12)</f>
        <v>0.63125</v>
      </c>
      <c r="G16" s="38" t="n">
        <f aca="false">AVERAGE(G5:G12)</f>
        <v>0.62375</v>
      </c>
      <c r="H16" s="38" t="n">
        <f aca="false">AVERAGE(H5:H12)</f>
        <v>0.58625</v>
      </c>
      <c r="I16" s="38" t="n">
        <f aca="false">AVERAGE(I5:I12)</f>
        <v>0.45625</v>
      </c>
      <c r="J16" s="38" t="n">
        <f aca="false">AVERAGE(J5:J12)</f>
        <v>0.6275</v>
      </c>
    </row>
    <row r="18" customFormat="false" ht="15" hidden="false" customHeight="false" outlineLevel="0" collapsed="false">
      <c r="A18" s="2" t="s">
        <v>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6" min="2" style="0" width="17"/>
  </cols>
  <sheetData>
    <row r="1" customFormat="false" ht="17.35" hidden="false" customHeight="false" outlineLevel="0" collapsed="false">
      <c r="A1" s="1" t="s">
        <v>60</v>
      </c>
    </row>
    <row r="2" customFormat="false" ht="15" hidden="false" customHeight="false" outlineLevel="0" collapsed="false">
      <c r="A2" s="2" t="s">
        <v>61</v>
      </c>
    </row>
    <row r="4" customFormat="false" ht="31.5" hidden="false" customHeight="true" outlineLevel="0" collapsed="false">
      <c r="A4" s="3" t="s">
        <v>2</v>
      </c>
      <c r="B4" s="3" t="s">
        <v>62</v>
      </c>
      <c r="C4" s="3" t="s">
        <v>63</v>
      </c>
      <c r="D4" s="3" t="s">
        <v>64</v>
      </c>
      <c r="E4" s="3" t="s">
        <v>65</v>
      </c>
      <c r="F4" s="3" t="s">
        <v>66</v>
      </c>
    </row>
    <row r="5" customFormat="false" ht="15" hidden="false" customHeight="false" outlineLevel="0" collapsed="false">
      <c r="A5" s="29" t="s">
        <v>17</v>
      </c>
      <c r="B5" s="31" t="n">
        <v>0.15</v>
      </c>
      <c r="C5" s="31" t="n">
        <v>0.57</v>
      </c>
      <c r="D5" s="31" t="n">
        <v>0.16</v>
      </c>
      <c r="E5" s="31" t="n">
        <v>0.58</v>
      </c>
      <c r="F5" s="9" t="str">
        <f aca="false">IF(AND(B5&lt;C5,D5&lt;E5),"Yes","No")</f>
        <v>Yes</v>
      </c>
    </row>
    <row r="6" customFormat="false" ht="15" hidden="false" customHeight="false" outlineLevel="0" collapsed="false">
      <c r="A6" s="32" t="s">
        <v>19</v>
      </c>
      <c r="B6" s="34" t="n">
        <v>0.15</v>
      </c>
      <c r="C6" s="34" t="n">
        <v>0.55</v>
      </c>
      <c r="D6" s="34" t="n">
        <v>0.14</v>
      </c>
      <c r="E6" s="34" t="n">
        <v>0.58</v>
      </c>
      <c r="F6" s="17" t="str">
        <f aca="false">IF(AND(B6&lt;C6,D6&lt;E6),"Yes","No")</f>
        <v>Yes</v>
      </c>
    </row>
    <row r="7" customFormat="false" ht="15" hidden="false" customHeight="false" outlineLevel="0" collapsed="false">
      <c r="A7" s="29" t="s">
        <v>20</v>
      </c>
      <c r="B7" s="31" t="n">
        <v>0.18</v>
      </c>
      <c r="C7" s="31" t="n">
        <v>0.52</v>
      </c>
      <c r="D7" s="31" t="n">
        <v>0.15</v>
      </c>
      <c r="E7" s="31" t="n">
        <v>0.56</v>
      </c>
      <c r="F7" s="9" t="str">
        <f aca="false">IF(AND(B7&lt;C7,D7&lt;E7),"Yes","No")</f>
        <v>Yes</v>
      </c>
    </row>
    <row r="8" customFormat="false" ht="15" hidden="false" customHeight="false" outlineLevel="0" collapsed="false">
      <c r="A8" s="32" t="s">
        <v>21</v>
      </c>
      <c r="B8" s="34" t="n">
        <v>0.16</v>
      </c>
      <c r="C8" s="34" t="n">
        <v>0.52</v>
      </c>
      <c r="D8" s="34" t="n">
        <v>0.13</v>
      </c>
      <c r="E8" s="34" t="n">
        <v>0.63</v>
      </c>
      <c r="F8" s="17" t="str">
        <f aca="false">IF(AND(B8&lt;C8,D8&lt;E8),"Yes","No")</f>
        <v>Yes</v>
      </c>
    </row>
    <row r="9" customFormat="false" ht="15" hidden="false" customHeight="false" outlineLevel="0" collapsed="false">
      <c r="A9" s="29" t="s">
        <v>22</v>
      </c>
      <c r="B9" s="31" t="n">
        <v>0.12</v>
      </c>
      <c r="C9" s="31" t="n">
        <v>0.48</v>
      </c>
      <c r="D9" s="31" t="n">
        <v>0.11</v>
      </c>
      <c r="E9" s="31" t="n">
        <v>0.53</v>
      </c>
      <c r="F9" s="9" t="str">
        <f aca="false">IF(AND(B9&lt;C9,D9&lt;E9),"Yes","No")</f>
        <v>Yes</v>
      </c>
    </row>
    <row r="10" customFormat="false" ht="15" hidden="false" customHeight="false" outlineLevel="0" collapsed="false">
      <c r="A10" s="32" t="s">
        <v>24</v>
      </c>
      <c r="B10" s="34" t="n">
        <v>0.04</v>
      </c>
      <c r="C10" s="34" t="n">
        <v>0.47</v>
      </c>
      <c r="D10" s="34" t="n">
        <v>0.07</v>
      </c>
      <c r="E10" s="34" t="n">
        <v>0.13</v>
      </c>
      <c r="F10" s="17" t="str">
        <f aca="false">IF(AND(B10&lt;C10,D10&lt;E10),"Yes","No")</f>
        <v>Yes</v>
      </c>
    </row>
    <row r="11" customFormat="false" ht="15" hidden="false" customHeight="false" outlineLevel="0" collapsed="false">
      <c r="A11" s="29" t="s">
        <v>25</v>
      </c>
      <c r="B11" s="31" t="n">
        <v>0.13</v>
      </c>
      <c r="C11" s="31" t="n">
        <v>0.62</v>
      </c>
      <c r="D11" s="31" t="n">
        <v>0.14</v>
      </c>
      <c r="E11" s="31" t="n">
        <v>0.63</v>
      </c>
      <c r="F11" s="9" t="str">
        <f aca="false">IF(AND(B11&lt;C11,D11&lt;E11),"Yes","No")</f>
        <v>Yes</v>
      </c>
    </row>
    <row r="13" customFormat="false" ht="15" hidden="false" customHeight="false" outlineLevel="0" collapsed="false">
      <c r="A13" s="40" t="s">
        <v>67</v>
      </c>
      <c r="D13" s="41" t="n">
        <f aca="false">(Per_Class_F1!B6+Per_Class_F1!B12)/Per_Class_F1!B13</f>
        <v>0.0283651750893047</v>
      </c>
    </row>
    <row r="14" customFormat="false" ht="15" hidden="false" customHeight="false" outlineLevel="0" collapsed="false">
      <c r="A14" s="40" t="s">
        <v>68</v>
      </c>
      <c r="D14" s="42" t="n">
        <f aca="false">MIN(B5:B11,D5:D11)</f>
        <v>0.04</v>
      </c>
    </row>
    <row r="15" customFormat="false" ht="15" hidden="false" customHeight="false" outlineLevel="0" collapsed="false">
      <c r="A15" s="40" t="s">
        <v>69</v>
      </c>
      <c r="D15" s="42" t="n">
        <f aca="false">MAX(B5:B11,D5:D11)</f>
        <v>0.18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4"/>
    <col collapsed="false" customWidth="true" hidden="false" outlineLevel="0" max="4" min="3" style="0" width="12"/>
    <col collapsed="false" customWidth="true" hidden="false" outlineLevel="0" max="5" min="5" style="0" width="52"/>
    <col collapsed="false" customWidth="true" hidden="false" outlineLevel="0" max="6" min="6" style="0" width="22"/>
  </cols>
  <sheetData>
    <row r="1" customFormat="false" ht="17.35" hidden="false" customHeight="false" outlineLevel="0" collapsed="false">
      <c r="A1" s="1" t="s">
        <v>70</v>
      </c>
    </row>
    <row r="2" customFormat="false" ht="15" hidden="false" customHeight="false" outlineLevel="0" collapsed="false">
      <c r="A2" s="2" t="s">
        <v>71</v>
      </c>
    </row>
    <row r="4" customFormat="false" ht="31.5" hidden="false" customHeight="true" outlineLevel="0" collapsed="false">
      <c r="A4" s="3" t="s">
        <v>72</v>
      </c>
      <c r="B4" s="3" t="s">
        <v>73</v>
      </c>
      <c r="C4" s="3" t="s">
        <v>74</v>
      </c>
      <c r="D4" s="3" t="s">
        <v>5</v>
      </c>
      <c r="E4" s="3" t="s">
        <v>75</v>
      </c>
      <c r="F4" s="3" t="s">
        <v>76</v>
      </c>
    </row>
    <row r="5" customFormat="false" ht="15" hidden="false" customHeight="false" outlineLevel="0" collapsed="false">
      <c r="A5" s="29" t="s">
        <v>77</v>
      </c>
      <c r="B5" s="5" t="s">
        <v>78</v>
      </c>
      <c r="C5" s="5" t="s">
        <v>79</v>
      </c>
      <c r="D5" s="7" t="n">
        <v>0.7688</v>
      </c>
      <c r="E5" s="29" t="s">
        <v>80</v>
      </c>
      <c r="F5" s="10" t="n">
        <f aca="false">(D5-$D$11)*100</f>
        <v>1.44000000000001</v>
      </c>
    </row>
    <row r="6" customFormat="false" ht="15" hidden="false" customHeight="false" outlineLevel="0" collapsed="false">
      <c r="A6" s="32" t="s">
        <v>81</v>
      </c>
      <c r="B6" s="13" t="s">
        <v>24</v>
      </c>
      <c r="C6" s="13" t="s">
        <v>82</v>
      </c>
      <c r="D6" s="15" t="n">
        <v>0.9602</v>
      </c>
      <c r="E6" s="32" t="s">
        <v>83</v>
      </c>
      <c r="F6" s="18" t="n">
        <f aca="false">(D6-$D$11)*100</f>
        <v>20.58</v>
      </c>
    </row>
    <row r="7" customFormat="false" ht="15" hidden="false" customHeight="false" outlineLevel="0" collapsed="false">
      <c r="A7" s="29" t="s">
        <v>84</v>
      </c>
      <c r="B7" s="5" t="s">
        <v>85</v>
      </c>
      <c r="C7" s="5" t="s">
        <v>79</v>
      </c>
      <c r="D7" s="7" t="n">
        <v>0.9858</v>
      </c>
      <c r="E7" s="29" t="s">
        <v>86</v>
      </c>
      <c r="F7" s="10" t="n">
        <f aca="false">(D7-$D$11)*100</f>
        <v>23.14</v>
      </c>
    </row>
    <row r="8" customFormat="false" ht="15" hidden="false" customHeight="false" outlineLevel="0" collapsed="false">
      <c r="A8" s="32" t="s">
        <v>87</v>
      </c>
      <c r="B8" s="13" t="s">
        <v>88</v>
      </c>
      <c r="C8" s="13" t="s">
        <v>89</v>
      </c>
      <c r="D8" s="15" t="n">
        <v>0.9996</v>
      </c>
      <c r="E8" s="32" t="s">
        <v>90</v>
      </c>
      <c r="F8" s="18" t="n">
        <f aca="false">(D8-$D$11)*100</f>
        <v>24.52</v>
      </c>
    </row>
    <row r="9" customFormat="false" ht="15" hidden="false" customHeight="false" outlineLevel="0" collapsed="false">
      <c r="A9" s="29" t="s">
        <v>91</v>
      </c>
      <c r="B9" s="5" t="s">
        <v>92</v>
      </c>
      <c r="C9" s="5" t="s">
        <v>93</v>
      </c>
      <c r="D9" s="7" t="n">
        <v>0.994</v>
      </c>
      <c r="E9" s="29" t="s">
        <v>94</v>
      </c>
      <c r="F9" s="10" t="n">
        <f aca="false">(D9-$D$11)*100</f>
        <v>23.96</v>
      </c>
    </row>
    <row r="10" customFormat="false" ht="15" hidden="false" customHeight="false" outlineLevel="0" collapsed="false">
      <c r="A10" s="32" t="s">
        <v>95</v>
      </c>
      <c r="B10" s="13" t="s">
        <v>96</v>
      </c>
      <c r="C10" s="13" t="s">
        <v>97</v>
      </c>
      <c r="D10" s="15" t="n">
        <v>0.9996</v>
      </c>
      <c r="E10" s="32" t="s">
        <v>98</v>
      </c>
      <c r="F10" s="18" t="n">
        <f aca="false">(D10-$D$11)*100</f>
        <v>24.52</v>
      </c>
    </row>
    <row r="11" customFormat="false" ht="15" hidden="false" customHeight="false" outlineLevel="0" collapsed="false">
      <c r="A11" s="43" t="s">
        <v>99</v>
      </c>
      <c r="B11" s="44" t="str">
        <f aca="false">INDEX(Results!A5:A11,MATCH(MAX(Results!D5:D11),Results!D5:D11,0))</f>
        <v>DNN</v>
      </c>
      <c r="C11" s="44" t="s">
        <v>93</v>
      </c>
      <c r="D11" s="45" t="n">
        <f aca="false">MAX(Results!D5:D11)</f>
        <v>0.7544</v>
      </c>
      <c r="E11" s="43" t="s">
        <v>100</v>
      </c>
      <c r="F11" s="46" t="n">
        <f aca="false">(D11-$D$11)*100</f>
        <v>0</v>
      </c>
    </row>
    <row r="13" customFormat="false" ht="15" hidden="false" customHeight="false" outlineLevel="0" collapsed="false">
      <c r="A13" s="40" t="s">
        <v>101</v>
      </c>
      <c r="D13" s="47" t="n">
        <f aca="false">MAX(Results!G5:G11)</f>
        <v>0.6346</v>
      </c>
    </row>
    <row r="14" customFormat="false" ht="15" hidden="false" customHeight="false" outlineLevel="0" collapsed="false">
      <c r="A14" s="40" t="s">
        <v>102</v>
      </c>
      <c r="D14" s="48" t="n">
        <v>0.54</v>
      </c>
    </row>
    <row r="15" customFormat="false" ht="15" hidden="false" customHeight="false" outlineLevel="0" collapsed="false">
      <c r="A15" s="40" t="s">
        <v>103</v>
      </c>
      <c r="D15" s="49" t="n">
        <f aca="false">(D13-D14)*100</f>
        <v>9.46</v>
      </c>
    </row>
    <row r="17" customFormat="false" ht="15" hidden="false" customHeight="false" outlineLevel="0" collapsed="false">
      <c r="A17" s="2" t="s">
        <v>104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95"/>
  </cols>
  <sheetData>
    <row r="1" customFormat="false" ht="17.35" hidden="false" customHeight="false" outlineLevel="0" collapsed="false">
      <c r="A1" s="1" t="s">
        <v>105</v>
      </c>
    </row>
    <row r="2" customFormat="false" ht="15" hidden="false" customHeight="false" outlineLevel="0" collapsed="false">
      <c r="A2" s="2" t="s">
        <v>106</v>
      </c>
    </row>
    <row r="4" customFormat="false" ht="31.5" hidden="false" customHeight="true" outlineLevel="0" collapsed="false">
      <c r="A4" s="3" t="s">
        <v>107</v>
      </c>
      <c r="B4" s="3" t="s">
        <v>108</v>
      </c>
    </row>
    <row r="5" customFormat="false" ht="15" hidden="false" customHeight="false" outlineLevel="0" collapsed="false">
      <c r="A5" s="50" t="s">
        <v>109</v>
      </c>
      <c r="B5" s="51" t="s">
        <v>110</v>
      </c>
    </row>
    <row r="6" customFormat="false" ht="15" hidden="false" customHeight="false" outlineLevel="0" collapsed="false">
      <c r="A6" s="52" t="s">
        <v>74</v>
      </c>
      <c r="B6" s="53" t="s">
        <v>111</v>
      </c>
    </row>
    <row r="7" customFormat="false" ht="15" hidden="false" customHeight="false" outlineLevel="0" collapsed="false">
      <c r="A7" s="50" t="s">
        <v>112</v>
      </c>
      <c r="B7" s="51" t="s">
        <v>113</v>
      </c>
    </row>
    <row r="8" customFormat="false" ht="15" hidden="false" customHeight="false" outlineLevel="0" collapsed="false">
      <c r="A8" s="52" t="s">
        <v>114</v>
      </c>
      <c r="B8" s="53" t="s">
        <v>115</v>
      </c>
    </row>
    <row r="9" customFormat="false" ht="15" hidden="false" customHeight="false" outlineLevel="0" collapsed="false">
      <c r="A9" s="50" t="s">
        <v>116</v>
      </c>
      <c r="B9" s="51" t="s">
        <v>117</v>
      </c>
    </row>
    <row r="10" customFormat="false" ht="15" hidden="false" customHeight="false" outlineLevel="0" collapsed="false">
      <c r="A10" s="52" t="s">
        <v>118</v>
      </c>
      <c r="B10" s="53" t="s">
        <v>119</v>
      </c>
    </row>
    <row r="11" customFormat="false" ht="15" hidden="false" customHeight="false" outlineLevel="0" collapsed="false">
      <c r="A11" s="50" t="s">
        <v>120</v>
      </c>
      <c r="B11" s="51" t="s">
        <v>121</v>
      </c>
    </row>
    <row r="12" customFormat="false" ht="15" hidden="false" customHeight="false" outlineLevel="0" collapsed="false">
      <c r="A12" s="52" t="s">
        <v>122</v>
      </c>
      <c r="B12" s="53" t="s">
        <v>123</v>
      </c>
    </row>
    <row r="13" customFormat="false" ht="15" hidden="false" customHeight="false" outlineLevel="0" collapsed="false">
      <c r="A13" s="50" t="s">
        <v>124</v>
      </c>
      <c r="B13" s="51" t="s">
        <v>125</v>
      </c>
    </row>
    <row r="14" customFormat="false" ht="15" hidden="false" customHeight="false" outlineLevel="0" collapsed="false">
      <c r="A14" s="52" t="s">
        <v>126</v>
      </c>
      <c r="B14" s="53" t="s">
        <v>127</v>
      </c>
    </row>
    <row r="15" customFormat="false" ht="23.85" hidden="false" customHeight="false" outlineLevel="0" collapsed="false">
      <c r="A15" s="50" t="s">
        <v>128</v>
      </c>
      <c r="B15" s="51" t="s">
        <v>129</v>
      </c>
    </row>
    <row r="16" customFormat="false" ht="15" hidden="false" customHeight="false" outlineLevel="0" collapsed="false">
      <c r="A16" s="52" t="s">
        <v>130</v>
      </c>
      <c r="B16" s="53" t="s">
        <v>131</v>
      </c>
    </row>
    <row r="17" customFormat="false" ht="15" hidden="false" customHeight="false" outlineLevel="0" collapsed="false">
      <c r="A17" s="50" t="s">
        <v>132</v>
      </c>
      <c r="B17" s="51" t="s">
        <v>133</v>
      </c>
    </row>
    <row r="18" customFormat="false" ht="15" hidden="false" customHeight="false" outlineLevel="0" collapsed="false">
      <c r="A18" s="52" t="s">
        <v>134</v>
      </c>
      <c r="B18" s="53" t="s">
        <v>135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2026-10-24T20:03:33Z</dcterms:created>
  <dc:creator>openpyxl</dc:creator>
  <dc:description/>
  <dc:language>en-US</dc:language>
  <cp:lastModifiedBy/>
  <dcterms:modified xsi:type="dcterms:W3CDTF">2026-10-24T20:03:35Z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