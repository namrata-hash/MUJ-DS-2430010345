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Summary" sheetId="2" state="visible" r:id="rId4"/>
    <sheet name="Paper_Summaries" sheetId="3" state="visible" r:id="rId5"/>
    <sheet name="Studies" sheetId="4" state="visible" r:id="rId6"/>
    <sheet name="Reviews" sheetId="5" state="visible" r:id="rId7"/>
    <sheet name="Datasets" sheetId="6" state="visible" r:id="rId8"/>
    <sheet name="Gaps" sheetId="7" state="visible" r:id="rId9"/>
    <sheet name="References" sheetId="8" state="visible" r:id="rId10"/>
  </sheets>
  <definedNames>
    <definedName function="false" hidden="true" localSheetId="2" name="_xlnm._FilterDatabase" vbProcedure="false">Paper_Summaries!$A$1:$G$21</definedName>
    <definedName function="false" hidden="true" localSheetId="3" name="_xlnm._FilterDatabase" vbProcedure="false">Studies!$A$1:$U$21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<sst xmlns="http://schemas.openxmlformats.org/spreadsheetml/2006/main" count="568" uniqueCount="445">
  <si>
    <t xml:space="preserve">Literature Review Workbook: ML/DL Intrusion Detection for IoT (CICIoT2023 focus)</t>
  </si>
  <si>
    <t xml:space="preserve">Companion to the literature review paper. Covers 20 studies: 8 reviews/surveys, 11 experimental studies, 1 benchmark.</t>
  </si>
  <si>
    <t xml:space="preserve">Sheets:</t>
  </si>
  <si>
    <t xml:space="preserve">Summary - formula-driven counts and charts.</t>
  </si>
  <si>
    <t xml:space="preserve">Studies - one row per study with extraction fields and theme flags (1 = theme covered).</t>
  </si>
  <si>
    <t xml:space="preserve">Reviews - comparison of the 8 reviews and surveys.</t>
  </si>
  <si>
    <t xml:space="preserve">Datasets - datasets used and how many included studies list each.</t>
  </si>
  <si>
    <t xml:space="preserve">Gaps - research gaps and the studies that raise them.</t>
  </si>
  <si>
    <t xml:space="preserve">References - citations for the 20 studies.</t>
  </si>
  <si>
    <t xml:space="preserve">Legend: blue text = value or judgement entered by me from the papers; black = formula or label.</t>
  </si>
  <si>
    <t xml:space="preserve">Assumptions and caveats:</t>
  </si>
  <si>
    <t xml:space="preserve">1. The corpus is the 20 papers supplied, not a systematic search, so counts describe this corpus only.</t>
  </si>
  <si>
    <t xml:space="preserve">2. Theme flags are my judgement of whether a paper substantively covers a theme; edit the 1/0 values in Studies columns M-T and Summary updates.</t>
  </si>
  <si>
    <t xml:space="preserve">3. Figures are as reported by the authors and were not reproduced.</t>
  </si>
  <si>
    <t xml:space="preserve">4. Thirteen papers were read from extracted text focusing on abstracts, methods, results and conclusions.</t>
  </si>
  <si>
    <t xml:space="preserve">5. 'Not recorded' means the text I read did not state the detail.</t>
  </si>
  <si>
    <t xml:space="preserve">6. Three items are not standard journal articles: Mughogho (MSc project), Mishra &amp; Reddy (preprint), Salakhutdinov (venue not stated); Kwari &amp; Rajkumar is a conference paper.</t>
  </si>
  <si>
    <t xml:space="preserve">7. Years: Salakhutdinov has no stated date and is entered as n.d.</t>
  </si>
  <si>
    <t xml:space="preserve">Summary of the 20-study corpus</t>
  </si>
  <si>
    <t xml:space="preserve">Measure</t>
  </si>
  <si>
    <t xml:space="preserve">Value</t>
  </si>
  <si>
    <t xml:space="preserve">Total studies</t>
  </si>
  <si>
    <t xml:space="preserve">Reviews and surveys</t>
  </si>
  <si>
    <t xml:space="preserve">Experimental studies</t>
  </si>
  <si>
    <t xml:space="preserve">Benchmark studies</t>
  </si>
  <si>
    <t xml:space="preserve">Studies published 2024</t>
  </si>
  <si>
    <t xml:space="preserve">Studies published 2025</t>
  </si>
  <si>
    <t xml:space="preserve">Studies published 2026</t>
  </si>
  <si>
    <t xml:space="preserve">Studies with no stated date</t>
  </si>
  <si>
    <t xml:space="preserve">Peer-reviewed journal articles</t>
  </si>
  <si>
    <t xml:space="preserve">Not standard journal articles</t>
  </si>
  <si>
    <t xml:space="preserve">Experimental studies using CICIoT2023</t>
  </si>
  <si>
    <t xml:space="preserve">Share of experimental studies using CICIoT2023</t>
  </si>
  <si>
    <t xml:space="preserve">Average themes covered per study</t>
  </si>
  <si>
    <t xml:space="preserve">Total research gaps listed</t>
  </si>
  <si>
    <t xml:space="preserve">Theme coverage</t>
  </si>
  <si>
    <t xml:space="preserve">Theme</t>
  </si>
  <si>
    <t xml:space="preserve">Studies covering it</t>
  </si>
  <si>
    <t xml:space="preserve">Share of corpus</t>
  </si>
  <si>
    <t xml:space="preserve">ML / ensembles</t>
  </si>
  <si>
    <t xml:space="preserve">Deep learning</t>
  </si>
  <si>
    <t xml:space="preserve">Explainable AI</t>
  </si>
  <si>
    <t xml:space="preserve">Federated / privacy</t>
  </si>
  <si>
    <t xml:space="preserve">Adversarial robustness</t>
  </si>
  <si>
    <t xml:space="preserve">Class imbalance</t>
  </si>
  <si>
    <t xml:space="preserve">Edge / efficiency</t>
  </si>
  <si>
    <t xml:space="preserve">Multiple datasets / benchmarking</t>
  </si>
  <si>
    <t xml:space="preserve">Year distribution</t>
  </si>
  <si>
    <t xml:space="preserve">Year</t>
  </si>
  <si>
    <t xml:space="preserve">Studies</t>
  </si>
  <si>
    <t xml:space="preserve">2024</t>
  </si>
  <si>
    <t xml:space="preserve">2025</t>
  </si>
  <si>
    <t xml:space="preserve">2026</t>
  </si>
  <si>
    <t xml:space="preserve">ID</t>
  </si>
  <si>
    <t xml:space="preserve">Study</t>
  </si>
  <si>
    <t xml:space="preserve">Aim</t>
  </si>
  <si>
    <t xml:space="preserve">Method and data</t>
  </si>
  <si>
    <t xml:space="preserve">Main results</t>
  </si>
  <si>
    <t xml:space="preserve">Main limitation</t>
  </si>
  <si>
    <t xml:space="preserve">Poltoratskyi &amp; Gavrylenko</t>
  </si>
  <si>
    <t xml:space="preserve">Review the evolution of IDS from 2020 to 2025.</t>
  </si>
  <si>
    <t xml:space="preserve">Taxonomy by detection method, deployment, data source and response; analysis of modern datasets (ROAD, Edge-IIoT-2022, CICIoT2023, CICIoMT2024, CREMEv2, RT-IoT2022) and of ML, DL, hybrid and federated approaches.</t>
  </si>
  <si>
    <t xml:space="preserve">Accuracy above 98% is common on benchmarks, but imbalance, zero-day detection, scalability and privacy remain open; recommends MCC, F1, AUC-PR and operational metrics.</t>
  </si>
  <si>
    <t xml:space="preserve">Narrative synthesis; no screening counts reported.</t>
  </si>
  <si>
    <t xml:space="preserve">Rivandi &amp; Oskouei</t>
  </si>
  <si>
    <t xml:space="preserve">Detect attacks in mobile social (ad hoc) networks.</t>
  </si>
  <si>
    <t xml:space="preserve">Social-network metrics (betweenness, degree) in ego networks with a normal profile and a two-standard-deviation threshold; NS2 simulation, 30 nodes, AODV, four attacks (packet drop, black hole, sleep deprivation, TCP SYN).</t>
  </si>
  <si>
    <t xml:space="preserve">Single-node detection 99.8-99.9%; detection delay 0.424 s vs 1.051 s for an Apriori-based IDS; fewer rules.</t>
  </si>
  <si>
    <t xml:space="preserve">Small simulation; no IoT benchmark data; multi-node detection only 40-61%.</t>
  </si>
  <si>
    <t xml:space="preserve">Meena &amp; Indian</t>
  </si>
  <si>
    <t xml:space="preserve">Compare IDS methods across datasets with an enhanced LSTM.</t>
  </si>
  <si>
    <t xml:space="preserve">Two LSTM layers of 100 units, flatten and softmax output, 20 epochs, Adam; compared with logistic regression, AdaBoost, DNN, RNN on KDD-Cup'99, NSL-KDD, UNSW-NB15, CICIoT2023.</t>
  </si>
  <si>
    <t xml:space="preserve">98.58% accuracy on CICIoT2023 (34 classes) vs 98.26% DNN and 98.25% RNN.</t>
  </si>
  <si>
    <t xml:space="preserve">Figures differ between tables; small margin over simple DL baselines.</t>
  </si>
  <si>
    <t xml:space="preserve">Kwari &amp; Rajkumar</t>
  </si>
  <si>
    <t xml:space="preserve">Evaluate a lightweight soft-voting ensemble under natural imbalance.</t>
  </si>
  <si>
    <t xml:space="preserve">Logistic regression, random forest and AdaBoost; 100,000 CICIoT2023 samples (80,000 train, 20,000 test); no resampling.</t>
  </si>
  <si>
    <t xml:space="preserve">76.88% accuracy; macro-F1 0.54 (weighted F1 0.74); flooding and Mirai classes near F1 1.00; rare classes 0.00.</t>
  </si>
  <si>
    <t xml:space="preserve">Subset, single split, no mitigation tested.</t>
  </si>
  <si>
    <t xml:space="preserve">Salakhutdinov</t>
  </si>
  <si>
    <t xml:space="preserve">n.d.</t>
  </si>
  <si>
    <t xml:space="preserve">Critically review AI and DL for IoT network intrusion detection.</t>
  </si>
  <si>
    <t xml:space="preserve">Targeted review of architectures, learning strategies and datasets (N-BaIoT, Bot-IoT, TON_IoT, Edge-IIoTset, CICIoT2023).</t>
  </si>
  <si>
    <t xml:space="preserve">Conceptual framework separating anomaly detection from intrusion classification, adding explainability, decision support and governed adaptation.</t>
  </si>
  <si>
    <t xml:space="preserve">Framework not experimentally validated; venue not stated.</t>
  </si>
  <si>
    <t xml:space="preserve">Imran et al.</t>
  </si>
  <si>
    <t xml:space="preserve">An explainable IDS comparing six models.</t>
  </si>
  <si>
    <t xml:space="preserve">Decision tree, random forest, XGBoost, CNN, LSTM, Transformer on 18,000 samples with six harmonised classes from CICIoT2023 and IoT-23; SHAP and LIME.</t>
  </si>
  <si>
    <t xml:space="preserve">LSTM best: 96.02% accuracy, F1 94.69%, ROC-AUC 0.97; top features flow duration, packet rate, bytes per second.</t>
  </si>
  <si>
    <t xml:space="preserve">Small sample; qualitative XAI evaluation; some text inconsistencies.</t>
  </si>
  <si>
    <t xml:space="preserve">Hajjouz &amp; Avksentieva</t>
  </si>
  <si>
    <t xml:space="preserve">Detect DoS, DDoS and Mirai subtypes.</t>
  </si>
  <si>
    <t xml:space="preserve">Full CICIoT2023 (45.8 million flows); Spearman clustering to 23 features; class weights; CatBoost; six-fold stratified validation; SHAP.</t>
  </si>
  <si>
    <t xml:space="preserve">99.96% accuracy, precision, recall and F1 on 20 classes; 7.16e-07 s per flow.</t>
  </si>
  <si>
    <t xml:space="preserve">Excludes other attack families; macro-F1 not reported.</t>
  </si>
  <si>
    <t xml:space="preserve">Winanto &amp; Idris</t>
  </si>
  <si>
    <t xml:space="preserve">Review adversarial robustness of DL-based IDS.</t>
  </si>
  <si>
    <t xml:space="preserve">PRISMA 2020; 5,890 records, 252 full texts, 216 studies (2020 to March 2026).</t>
  </si>
  <si>
    <t xml:space="preserve">FGSM in 76.9% of studies; adversarial training 61.6%; black-box attacks and certified defences rare; CICIoT2023 under 5%.</t>
  </si>
  <si>
    <t xml:space="preserve">Single-reviewer screening calibrated on a 50-record sample (kappa 0.81).</t>
  </si>
  <si>
    <t xml:space="preserve">Erskine</t>
  </si>
  <si>
    <t xml:space="preserve">A combined detection and prevention model.</t>
  </si>
  <si>
    <t xml:space="preserve">Deep-learning MLP (DLMIDPSM) trained on over 80% of CICIoT2023.</t>
  </si>
  <si>
    <t xml:space="preserve">Accuracy above 85%; 99% precision on Mirai traffic.</t>
  </si>
  <si>
    <t xml:space="preserve">Prevention judged by confusion-matrix values, not a blocking test.</t>
  </si>
  <si>
    <t xml:space="preserve">Diana et al.</t>
  </si>
  <si>
    <t xml:space="preserve">Overview of IDS for network security.</t>
  </si>
  <si>
    <t xml:space="preserve">Review of architectures, detection techniques, datasets and deployment in cloud, virtualised, IoT and industrial networks.</t>
  </si>
  <si>
    <t xml:space="preserve">Scalability and false alarms remain open; AI/ML and blockchain are promising directions.</t>
  </si>
  <si>
    <t xml:space="preserve">Narrative review.</t>
  </si>
  <si>
    <t xml:space="preserve">Yaras &amp; Dener</t>
  </si>
  <si>
    <t xml:space="preserve">Detect DDoS attacks in a big-data setting.</t>
  </si>
  <si>
    <t xml:space="preserve">Hybrid 1D-CNN + LSTM in PySpark with correlation-based feature reduction on CICIoT2023 and TON_IoT; compared with ten algorithms.</t>
  </si>
  <si>
    <t xml:space="preserve">99.995% binary and 99.96% multiclass on CICIoT2023; 98.75% binary on TON_IoT.</t>
  </si>
  <si>
    <t xml:space="preserve">Long training on large data; balancing not recorded.</t>
  </si>
  <si>
    <t xml:space="preserve">Mughogho</t>
  </si>
  <si>
    <t xml:space="preserve">An ML-based IoT IDS using an ensemble.</t>
  </si>
  <si>
    <t xml:space="preserve">Mutual-information feature selection; decision tree, random forest, XGBoost and soft voting on CICIoT2023.</t>
  </si>
  <si>
    <t xml:space="preserve">99.80% binary and 99.25% multiclass for the ensemble; members correctly pass only 89-93% of benign flows in binary detection.</t>
  </si>
  <si>
    <t xml:space="preserve">MSc project; gains over members only 0.1-0.3 points.</t>
  </si>
  <si>
    <t xml:space="preserve">Ahmed et al.</t>
  </si>
  <si>
    <t xml:space="preserve">Systematic review of ML-based IDS.</t>
  </si>
  <si>
    <t xml:space="preserve">PRISMA; 22,558 records, 125 papers (January 2022 to May 2025).</t>
  </si>
  <si>
    <t xml:space="preserve">Five themes (ensemble/hybrid, context-specific, data-centric, deep architectures, trustworthiness); about 2% use XAI, 4% test robustness, none validates in production.</t>
  </si>
  <si>
    <t xml:space="preserve">Three databases searched.</t>
  </si>
  <si>
    <t xml:space="preserve">Bunko et al.</t>
  </si>
  <si>
    <t xml:space="preserve">Survey privacy-preserving federated learning for IDS.</t>
  </si>
  <si>
    <t xml:space="preserve">Review of FL-IDS work and protections such as encryption, differential privacy and secure aggregation.</t>
  </si>
  <si>
    <t xml:space="preserve">Most work only keeps raw data local; inference and poisoning attacks remain.</t>
  </si>
  <si>
    <t xml:space="preserve">Survey, no experiments.</t>
  </si>
  <si>
    <t xml:space="preserve">Mondragon et al.</t>
  </si>
  <si>
    <t xml:space="preserve">A standard benchmark for flow-based IDS.</t>
  </si>
  <si>
    <t xml:space="preserve">14 datasets with fixed splits and seven algorithm categories compared by macro-F1.</t>
  </si>
  <si>
    <t xml:space="preserve">CFC best overall, followed by LCCDE and a fully connected network; LITNET (real traffic) gives the lowest scores.</t>
  </si>
  <si>
    <t xml:space="preserve">RBM and GNN methods limited by tuning cost; no single recommended subset.</t>
  </si>
  <si>
    <t xml:space="preserve">Almahaqeri et al.</t>
  </si>
  <si>
    <t xml:space="preserve">Efficient gradient boosting for edge IDS.</t>
  </si>
  <si>
    <t xml:space="preserve">XGBoost, LightGBM, CatBoost on CICIoT2023 for binary, 8-class and 34-class tasks; stratified undersampling; gain-based selection (46 to 23 features).</t>
  </si>
  <si>
    <t xml:space="preserve">XGBoost 99.61% accuracy and 0.995 macro-F1 binary at 0.355 microseconds per sample; latency cut 30-51%.</t>
  </si>
  <si>
    <t xml:space="preserve">Undersampled evaluation; single dataset; flow-level only.</t>
  </si>
  <si>
    <t xml:space="preserve">Khan et al.</t>
  </si>
  <si>
    <t xml:space="preserve">A resource-efficient IoT IDS.</t>
  </si>
  <si>
    <t xml:space="preserve">BGL-RID (Boruta, greedy forward selection, SMOTE, LightGBM) on TON_IoT, a Raspberry Pi dataset, CICIDS2018 and CICIoT2023.</t>
  </si>
  <si>
    <t xml:space="preserve">98.88% on CICIoT2023; 99.94% CICIDS2018; 99.91% Raspberry Pi; 99.72% binary and 98.94% multiclass on TON_IoT; best efficiency ratio.</t>
  </si>
  <si>
    <t xml:space="preserve">SMOTE; small abstract/conclusion mismatch.</t>
  </si>
  <si>
    <t xml:space="preserve">Mallidi &amp; Ramisetty</t>
  </si>
  <si>
    <t xml:space="preserve">Review training and deployment strategies for AI-based IoT IDS.</t>
  </si>
  <si>
    <t xml:space="preserve">Centralised, distributed and federated training; cloud, fog and edge deployment; attack taxonomy, datasets and metrics.</t>
  </si>
  <si>
    <t xml:space="preserve">FL improves scalability and privacy; hybrid deployment balances resources.</t>
  </si>
  <si>
    <t xml:space="preserve">Review only.</t>
  </si>
  <si>
    <t xml:space="preserve">Hozouri et al.</t>
  </si>
  <si>
    <t xml:space="preserve">Survey IDS and ML/DL techniques.</t>
  </si>
  <si>
    <t xml:space="preserve">IDS types and architectures, with CIC-IDS2017, KDD-Cup'99 and UNSW-NB15.</t>
  </si>
  <si>
    <t xml:space="preserve">DL improves detection of complex attacks; dependence on labelled data and class imbalance are key challenges.</t>
  </si>
  <si>
    <t xml:space="preserve">Relies on legacy datasets.</t>
  </si>
  <si>
    <t xml:space="preserve">Mishra &amp; Reddy</t>
  </si>
  <si>
    <t xml:space="preserve">A federated hybrid DL framework for IoT IDS.</t>
  </si>
  <si>
    <t xml:space="preserve">N-BaIoT, CICIoT2023, BoT-IoT; preprocessing, balancing and individual-dataset training with CNN, LSTM, BiLSTM, attention, tiny Transformer, random forest, XGBoost, deep-feature XGBoost.</t>
  </si>
  <si>
    <t xml:space="preserve">XGBoost-based models strongest (0.921 accuracy, 0.858 F1, macro-averaged); CICIoT2023 hardest multiclass setting.</t>
  </si>
  <si>
    <t xml:space="preserve">Preprint; federated stage not yet run.</t>
  </si>
  <si>
    <t xml:space="preserve">Figures are as reported by the authors; blue = entered from the papers. Thirteen papers were read from extracted text focusing on abstracts, methods, results and conclusions.</t>
  </si>
  <si>
    <t xml:space="preserve">First author</t>
  </si>
  <si>
    <t xml:space="preserve">Short title</t>
  </si>
  <si>
    <t xml:space="preserve">Venue</t>
  </si>
  <si>
    <t xml:space="preserve">Type</t>
  </si>
  <si>
    <t xml:space="preserve">Review status</t>
  </si>
  <si>
    <t xml:space="preserve">Datasets</t>
  </si>
  <si>
    <t xml:space="preserve">Methods / focus</t>
  </si>
  <si>
    <t xml:space="preserve">Key findings</t>
  </si>
  <si>
    <t xml:space="preserve">Uses CICIoT2023?</t>
  </si>
  <si>
    <t xml:space="preserve">Themes covered</t>
  </si>
  <si>
    <t xml:space="preserve">Evolution of IDS: datasets, DL approaches, architectural challenges</t>
  </si>
  <si>
    <t xml:space="preserve">Advanced Information Systems 10(2)</t>
  </si>
  <si>
    <t xml:space="preserve">Review</t>
  </si>
  <si>
    <t xml:space="preserve">Peer-reviewed journal</t>
  </si>
  <si>
    <t xml:space="preserve">Many (ROAD, Edge-IIoT-2022, CICIoT2023, etc.)</t>
  </si>
  <si>
    <t xml:space="preserve">Taxonomy, dataset analysis, ML/DL/FL/XAI synthesis 2020-2025</t>
  </si>
  <si>
    <t xml:space="preserve">Benchmarks exceed 98% but imbalance, zero-day detection, scalability and privacy unresolved; recommends MCC, F1, AUC-PR and operational metrics</t>
  </si>
  <si>
    <t xml:space="preserve">Narrative synthesis; screening counts not reported</t>
  </si>
  <si>
    <t xml:space="preserve">Discussed</t>
  </si>
  <si>
    <t xml:space="preserve">Novel IDS for mobile social networks</t>
  </si>
  <si>
    <t xml:space="preserve">J. Soft Computing and Decision Analytics 3(1)</t>
  </si>
  <si>
    <t xml:space="preserve">Experimental</t>
  </si>
  <si>
    <t xml:space="preserve">NS2 simulation (30 nodes)</t>
  </si>
  <si>
    <t xml:space="preserve">Social-network metrics (betweenness, degree) with normal-profile thresholds</t>
  </si>
  <si>
    <t xml:space="preserve">Single-node detection 99.8-99.9%; detection delay 0.424 s vs 1.051 s for Apriori-based IDS</t>
  </si>
  <si>
    <t xml:space="preserve">Small simulation; not IoT benchmark data; unrelated citations in reference list</t>
  </si>
  <si>
    <t xml:space="preserve">No</t>
  </si>
  <si>
    <t xml:space="preserve">IDS-IoT with enhanced LSTM</t>
  </si>
  <si>
    <t xml:space="preserve">Artificial Intelligence and Applications</t>
  </si>
  <si>
    <t xml:space="preserve">KDD-Cup'99, NSL-KDD, UNSW-NB15, CICIoT2023</t>
  </si>
  <si>
    <t xml:space="preserve">Two-layer LSTM vs LR, AdaBoost, DNN, RNN</t>
  </si>
  <si>
    <t xml:space="preserve">98.58% accuracy on CICIoT2023 (34 classes)</t>
  </si>
  <si>
    <t xml:space="preserve">Inconsistent figures across tables; small margin over DNN and RNN</t>
  </si>
  <si>
    <t xml:space="preserve">Yes</t>
  </si>
  <si>
    <t xml:space="preserve">Enhanced voting ensemble on CICIoT2023</t>
  </si>
  <si>
    <t xml:space="preserve">IGCAI 2025</t>
  </si>
  <si>
    <t xml:space="preserve">Conference paper</t>
  </si>
  <si>
    <t xml:space="preserve">CICIoT2023</t>
  </si>
  <si>
    <t xml:space="preserve">Soft voting of LR, RF, AdaBoost; no rebalancing</t>
  </si>
  <si>
    <t xml:space="preserve">76.88% accuracy; macro-F1 0.54; rare classes F1 0.00</t>
  </si>
  <si>
    <t xml:space="preserve">100,000-sample subset; single split; no mitigation tested</t>
  </si>
  <si>
    <t xml:space="preserve">AI and DL for network intrusion detection in IoT</t>
  </si>
  <si>
    <t xml:space="preserve">Not stated</t>
  </si>
  <si>
    <t xml:space="preserve">Venue not stated</t>
  </si>
  <si>
    <t xml:space="preserve">IoT datasets (N-BaIoT, Bot-IoT, TON_IoT, Edge-IIoTset, CICIoT2023)</t>
  </si>
  <si>
    <t xml:space="preserve">Critical review and conceptual framework</t>
  </si>
  <si>
    <t xml:space="preserve">Separates anomaly detection from intrusion classification; stresses drift, explainability, defense in depth</t>
  </si>
  <si>
    <t xml:space="preserve">Framework not validated; reference list irregularities</t>
  </si>
  <si>
    <t xml:space="preserve">Explainable AI-driven IDS for IoT</t>
  </si>
  <si>
    <t xml:space="preserve">J. Computers and Intelligent Systems 4(2)</t>
  </si>
  <si>
    <t xml:space="preserve">CICIoT2023, IoT-23</t>
  </si>
  <si>
    <t xml:space="preserve">DT, RF, XGBoost, CNN, LSTM, Transformer with SHAP and LIME</t>
  </si>
  <si>
    <t xml:space="preserve">LSTM best: 96.02% accuracy, F1 94.69%, ROC-AUC 0.97; SHAP/LIME highlight flow duration, packet rate, bytes/s</t>
  </si>
  <si>
    <t xml:space="preserve">18,000-sample, 6-class set; abstract names LR which was not evaluated; qualitative XAI evaluation</t>
  </si>
  <si>
    <t xml:space="preserve">Hierarchical feature selection and CatBoost for DoS/DDoS/Mirai subtypes</t>
  </si>
  <si>
    <t xml:space="preserve">Data and Metadata 3</t>
  </si>
  <si>
    <t xml:space="preserve">Spearman clustering to 23 features; CatBoost; stratified six-fold CV; SHAP</t>
  </si>
  <si>
    <t xml:space="preserve">99.96% on 20 classes; 7.16e-07 s per flow</t>
  </si>
  <si>
    <t xml:space="preserve">Excludes other attack families; macro-F1 not reported</t>
  </si>
  <si>
    <t xml:space="preserve">Adversarial robustness of DL-based IDS: systematic review</t>
  </si>
  <si>
    <t xml:space="preserve">IEEE Access 14</t>
  </si>
  <si>
    <t xml:space="preserve">Systematic review</t>
  </si>
  <si>
    <t xml:space="preserve">216 studies</t>
  </si>
  <si>
    <t xml:space="preserve">PRISMA 2020 review of attacks, defences, datasets</t>
  </si>
  <si>
    <t xml:space="preserve">FGSM in 76.9% of studies; adversarial training 61.6%; CICIoT2023 under 5% of corpus</t>
  </si>
  <si>
    <t xml:space="preserve">Single-reviewer screening (kappa 0.81 on 50-record sample)</t>
  </si>
  <si>
    <t xml:space="preserve">Real-time IDPS on CICIoT dataset based on deep learning</t>
  </si>
  <si>
    <t xml:space="preserve">Applied System Innovation 8:52</t>
  </si>
  <si>
    <t xml:space="preserve">DLMLP detection and prevention model</t>
  </si>
  <si>
    <t xml:space="preserve">Accuracy above 85%; 99% precision on Mirai</t>
  </si>
  <si>
    <t xml:space="preserve">Prevention judged by confusion matrix; modest accuracy</t>
  </si>
  <si>
    <t xml:space="preserve">Overview on IDS for computer networking security</t>
  </si>
  <si>
    <t xml:space="preserve">Computers 14:87</t>
  </si>
  <si>
    <t xml:space="preserve">General</t>
  </si>
  <si>
    <t xml:space="preserve">Architectures, detection techniques, environments; AI/ML and blockchain</t>
  </si>
  <si>
    <t xml:space="preserve">Scalability and false positives/negatives remain open</t>
  </si>
  <si>
    <t xml:space="preserve">Read from abstract and key sections</t>
  </si>
  <si>
    <t xml:space="preserve">IoT-based IDS using a new hybrid DL algorithm</t>
  </si>
  <si>
    <t xml:space="preserve">Electronics 13:1053</t>
  </si>
  <si>
    <t xml:space="preserve">CICIoT2023, TON_IoT</t>
  </si>
  <si>
    <t xml:space="preserve">1D-CNN + LSTM in PySpark; compared with ten algorithms</t>
  </si>
  <si>
    <t xml:space="preserve">99.995% binary and 99.96% multiclass on CICIoT2023; 98.75% binary on TON_IoT</t>
  </si>
  <si>
    <t xml:space="preserve">Long training on large data; balancing not recorded</t>
  </si>
  <si>
    <t xml:space="preserve">Enhancing IoT network security with ML</t>
  </si>
  <si>
    <t xml:space="preserve">National College of Ireland (MSc project)</t>
  </si>
  <si>
    <t xml:space="preserve">MSc project</t>
  </si>
  <si>
    <t xml:space="preserve">Mutual-information selection; DT, RF, XGBoost, soft voting</t>
  </si>
  <si>
    <t xml:space="preserve">99.80% binary; 99.25% multiclass</t>
  </si>
  <si>
    <t xml:space="preserve">Benign true-negative rate 89-93% for members; ensemble gains 0.1-0.3 points</t>
  </si>
  <si>
    <t xml:space="preserve">Systematic literature review on ML for IDS</t>
  </si>
  <si>
    <t xml:space="preserve">Future Internet 18:470</t>
  </si>
  <si>
    <t xml:space="preserve">125 studies</t>
  </si>
  <si>
    <t xml:space="preserve">PRISMA review, five themes</t>
  </si>
  <si>
    <t xml:space="preserve">About 2% use XAI, 4% test robustness, none validated in production</t>
  </si>
  <si>
    <t xml:space="preserve">Three databases searched</t>
  </si>
  <si>
    <t xml:space="preserve">Privacy-preserving federated learning for IDS</t>
  </si>
  <si>
    <t xml:space="preserve">Artificial Intelligence Review 59:125</t>
  </si>
  <si>
    <t xml:space="preserve">Survey</t>
  </si>
  <si>
    <t xml:space="preserve">FL-IDS literature</t>
  </si>
  <si>
    <t xml:space="preserve">Encryption, differential privacy, secure aggregation</t>
  </si>
  <si>
    <t xml:space="preserve">Most work only keeps data local; inference and poisoning risks remain</t>
  </si>
  <si>
    <t xml:space="preserve">Advanced IDS: comparative study of datasets and ML algorithms</t>
  </si>
  <si>
    <t xml:space="preserve">Applied Intelligence 55:608</t>
  </si>
  <si>
    <t xml:space="preserve">Benchmark</t>
  </si>
  <si>
    <t xml:space="preserve">14 flow datasets</t>
  </si>
  <si>
    <t xml:space="preserve">Seven algorithm categories compared by macro-F1</t>
  </si>
  <si>
    <t xml:space="preserve">CFC best macro-F1; LITNET (real traffic) lowest</t>
  </si>
  <si>
    <t xml:space="preserve">RBM and GNN methods limited by tuning cost</t>
  </si>
  <si>
    <t xml:space="preserve">Not recorded</t>
  </si>
  <si>
    <t xml:space="preserve">Optimized gradient boosting for IoT IDS on CICIoT2023</t>
  </si>
  <si>
    <t xml:space="preserve">Scientific Reports</t>
  </si>
  <si>
    <t xml:space="preserve">XGBoost, LightGBM, CatBoost; undersampling; gain-based selection</t>
  </si>
  <si>
    <t xml:space="preserve">XGBoost 99.61% binary; features 46 to 23 cut latency 30-51%</t>
  </si>
  <si>
    <t xml:space="preserve">Undersampled evaluation; single dataset; flow-level only</t>
  </si>
  <si>
    <t xml:space="preserve">Resource-efficient IoT IDS with hybrid feature selection</t>
  </si>
  <si>
    <t xml:space="preserve">TON_IoT, Raspberry Pi, CICIDS2018, CICIoT2023</t>
  </si>
  <si>
    <t xml:space="preserve">BGL-RID (Boruta, greedy selection, SMOTE, LightGBM)</t>
  </si>
  <si>
    <t xml:space="preserve">98.88% on CICIoT2023; 99.94% on CICIDS2018</t>
  </si>
  <si>
    <t xml:space="preserve">SMOTE; abstract/conclusion mismatch (98.94 vs 98.93)</t>
  </si>
  <si>
    <t xml:space="preserve">Training and deployment strategies for AI-based IDS in IoT</t>
  </si>
  <si>
    <t xml:space="preserve">Discover Internet of Things 5:8</t>
  </si>
  <si>
    <t xml:space="preserve">IoT IDS literature</t>
  </si>
  <si>
    <t xml:space="preserve">Centralised, distributed, federated training; cloud/fog/edge</t>
  </si>
  <si>
    <t xml:space="preserve">FL improves scalability and privacy; hybrid deployment balances resources</t>
  </si>
  <si>
    <t xml:space="preserve">Survey of IDS with advances in ML, DL and emerging challenges</t>
  </si>
  <si>
    <t xml:space="preserve">Discover Artificial Intelligence 5:314</t>
  </si>
  <si>
    <t xml:space="preserve">CIC-IDS2017, KDD-Cup'99, UNSW-NB15</t>
  </si>
  <si>
    <t xml:space="preserve">IDS types, ML/DL techniques</t>
  </si>
  <si>
    <t xml:space="preserve">Labelled-data dependence and imbalance are key limits</t>
  </si>
  <si>
    <t xml:space="preserve">Legacy datasets; read from abstract and key sections</t>
  </si>
  <si>
    <t xml:space="preserve">Federated hybrid DL framework for IoT IDS</t>
  </si>
  <si>
    <t xml:space="preserve">Research Square preprint</t>
  </si>
  <si>
    <t xml:space="preserve">Preprint</t>
  </si>
  <si>
    <t xml:space="preserve">N-BaIoT, CICIoT2023, BoT-IoT</t>
  </si>
  <si>
    <t xml:space="preserve">Hybrid deep models, XGBoost, deep-feature XGBoost; federated planned</t>
  </si>
  <si>
    <t xml:space="preserve">XGBoost-based models strongest; CICIoT2023 hardest; macro avg 0.921 accuracy / 0.858 F1</t>
  </si>
  <si>
    <t xml:space="preserve">Federated stage not run</t>
  </si>
  <si>
    <t xml:space="preserve">Period covered</t>
  </si>
  <si>
    <t xml:space="preserve">Records screened</t>
  </si>
  <si>
    <t xml:space="preserve">Full texts / included</t>
  </si>
  <si>
    <t xml:space="preserve">Method</t>
  </si>
  <si>
    <t xml:space="preserve">Scope</t>
  </si>
  <si>
    <t xml:space="preserve">Key conclusions</t>
  </si>
  <si>
    <t xml:space="preserve">Poltoratskyi &amp; Gavrylenko (2026)</t>
  </si>
  <si>
    <t xml:space="preserve">2020-2025</t>
  </si>
  <si>
    <t xml:space="preserve">Not reported</t>
  </si>
  <si>
    <t xml:space="preserve">Review (PRISMA stated)</t>
  </si>
  <si>
    <t xml:space="preserve">IDS evolution, taxonomy, datasets, DL/FL/XAI</t>
  </si>
  <si>
    <t xml:space="preserve">Benchmarks exceed 98%; imbalance, zero-day, scalability, privacy open</t>
  </si>
  <si>
    <t xml:space="preserve">Salakhutdinov (n.d.)</t>
  </si>
  <si>
    <t xml:space="preserve">Not applicable</t>
  </si>
  <si>
    <t xml:space="preserve">Targeted critical review (no PRISMA counts)</t>
  </si>
  <si>
    <t xml:space="preserve">AI/DL for IoT NIDS; conceptual framework</t>
  </si>
  <si>
    <t xml:space="preserve">Benchmark success does not equal robustness; drift, explainability, defense in depth</t>
  </si>
  <si>
    <t xml:space="preserve">Winanto &amp; Idris (2026)</t>
  </si>
  <si>
    <t xml:space="preserve">Jan 2020 - Mar 2026</t>
  </si>
  <si>
    <t xml:space="preserve">252 full texts; 216 included</t>
  </si>
  <si>
    <t xml:space="preserve">PRISMA 2020 systematic review</t>
  </si>
  <si>
    <t xml:space="preserve">Adversarial robustness of DL-IDS</t>
  </si>
  <si>
    <t xml:space="preserve">White-box attacks and adversarial training dominate; CICIoT2023 under 5% of corpus; 12 gaps</t>
  </si>
  <si>
    <t xml:space="preserve">Diana et al. (2025)</t>
  </si>
  <si>
    <t xml:space="preserve">Narrative review</t>
  </si>
  <si>
    <t xml:space="preserve">Architectures, techniques, datasets, environments</t>
  </si>
  <si>
    <t xml:space="preserve">Scalability and false alarms; AI/ML and blockchain as directions</t>
  </si>
  <si>
    <t xml:space="preserve">Ahmed et al. (2026)</t>
  </si>
  <si>
    <t xml:space="preserve">Jan 2022 - May 2025</t>
  </si>
  <si>
    <t xml:space="preserve">PRISMA systematic review</t>
  </si>
  <si>
    <t xml:space="preserve">ML-based IDS</t>
  </si>
  <si>
    <t xml:space="preserve">Five themes; about 2% XAI, 4% robustness; none validated in production</t>
  </si>
  <si>
    <t xml:space="preserve">Bunko et al. (2026)</t>
  </si>
  <si>
    <t xml:space="preserve">Privacy-preserving FL for IDS</t>
  </si>
  <si>
    <t xml:space="preserve">Most FL-IDS work stops at data locality; inference and poisoning remain</t>
  </si>
  <si>
    <t xml:space="preserve">Mallidi &amp; Ramisetty (2025)</t>
  </si>
  <si>
    <t xml:space="preserve">Systematic literature review</t>
  </si>
  <si>
    <t xml:space="preserve">Training and deployment strategies for AI-IDS in IoT</t>
  </si>
  <si>
    <t xml:space="preserve">FL and hybrid cloud-fog-edge deployment improve scalability and privacy</t>
  </si>
  <si>
    <t xml:space="preserve">Hozouri et al. (2025)</t>
  </si>
  <si>
    <t xml:space="preserve">IDS types, ML/DL, legacy datasets</t>
  </si>
  <si>
    <t xml:space="preserve">Labelled-data dependence and class imbalance</t>
  </si>
  <si>
    <t xml:space="preserve">Screening yield (included / screened)</t>
  </si>
  <si>
    <t xml:space="preserve">Screened</t>
  </si>
  <si>
    <t xml:space="preserve">Included</t>
  </si>
  <si>
    <t xml:space="preserve">Yield</t>
  </si>
  <si>
    <t xml:space="preserve">Dataset</t>
  </si>
  <si>
    <t xml:space="preserve">Characteristics as reported</t>
  </si>
  <si>
    <t xml:space="preserve">Studies listing it (Datasets column)</t>
  </si>
  <si>
    <t xml:space="preserve">Search text</t>
  </si>
  <si>
    <t xml:space="preserve">105 IoT devices; 47 features; 33 attack types plus benign (34 classes); extreme imbalance; about 45.8 million flows in full set</t>
  </si>
  <si>
    <t xml:space="preserve">KDD-Cup'99</t>
  </si>
  <si>
    <t xml:space="preserve">41 features; about 4.9 million records; criticised as outdated and synthetic</t>
  </si>
  <si>
    <t xml:space="preserve">NSL-KDD</t>
  </si>
  <si>
    <t xml:space="preserve">148,517 records; 41 features; redundancy reduced</t>
  </si>
  <si>
    <t xml:space="preserve">UNSW-NB15</t>
  </si>
  <si>
    <t xml:space="preserve">257,673 records; 49 features (as described by Meena &amp; Indian)</t>
  </si>
  <si>
    <t xml:space="preserve">TON_IoT</t>
  </si>
  <si>
    <t xml:space="preserve">Heterogeneous edge-fog-cloud IoT telemetry and network data</t>
  </si>
  <si>
    <t xml:space="preserve">IoT-23</t>
  </si>
  <si>
    <t xml:space="preserve">IoT network captures (used with CICIoT2023 by Imran et al.)</t>
  </si>
  <si>
    <t xml:space="preserve">N-BaIoT</t>
  </si>
  <si>
    <t xml:space="preserve">Commercial IoT devices infected with Mirai/BASHLITE</t>
  </si>
  <si>
    <t xml:space="preserve">BoT-IoT</t>
  </si>
  <si>
    <t xml:space="preserve">Botnet-oriented IoT testbed; class imbalance</t>
  </si>
  <si>
    <t xml:space="preserve">CICIDS2018</t>
  </si>
  <si>
    <t xml:space="preserve">Enterprise-style benchmark used by Khan et al.</t>
  </si>
  <si>
    <t xml:space="preserve">CIC-IDS2017</t>
  </si>
  <si>
    <t xml:space="preserve">Enterprise-style benchmark named by Hozouri et al.</t>
  </si>
  <si>
    <t xml:space="preserve">Note: counts cover the Datasets column only (what each study uses or evaluates). Year values are as I recall or as stated in the papers; verify before citing.</t>
  </si>
  <si>
    <t xml:space="preserve">#</t>
  </si>
  <si>
    <t xml:space="preserve">Research gap</t>
  </si>
  <si>
    <t xml:space="preserve">Evidence</t>
  </si>
  <si>
    <t xml:space="preserve">Study IDs raising it</t>
  </si>
  <si>
    <t xml:space="preserve">Number of studies</t>
  </si>
  <si>
    <t xml:space="preserve">Standardised CICIoT2023 protocol (label set, splits, metrics)</t>
  </si>
  <si>
    <t xml:space="preserve">Accuracy ranges from 76.88% to 99.995% depending on setup</t>
  </si>
  <si>
    <t xml:space="preserve">1, 4, 15</t>
  </si>
  <si>
    <t xml:space="preserve">Cross-dataset and cross-device generalisation</t>
  </si>
  <si>
    <t xml:space="preserve">Best method changes by dataset; no study trains on one dataset and tests on another</t>
  </si>
  <si>
    <t xml:space="preserve">1, 5, 15</t>
  </si>
  <si>
    <t xml:space="preserve">Rare-class detection</t>
  </si>
  <si>
    <t xml:space="preserve">Rare classes F1 0.00 without mitigation; rebalancing choices change results</t>
  </si>
  <si>
    <t xml:space="preserve">1, 4, 13, 16</t>
  </si>
  <si>
    <t xml:space="preserve">Fair deep vs tree comparisons</t>
  </si>
  <si>
    <t xml:space="preserve">Two head-to-head studies disagree</t>
  </si>
  <si>
    <t xml:space="preserve">6, 15, 20</t>
  </si>
  <si>
    <t xml:space="preserve">Quantified explainability</t>
  </si>
  <si>
    <t xml:space="preserve">SHAP/LIME used qualitatively; top features differ between studies</t>
  </si>
  <si>
    <t xml:space="preserve">1, 5, 6, 7, 13</t>
  </si>
  <si>
    <t xml:space="preserve">Resource-aware evaluation on edge hardware</t>
  </si>
  <si>
    <t xml:space="preserve">Memory, energy and edge tests rarely reported</t>
  </si>
  <si>
    <t xml:space="preserve">1, 5, 16, 17</t>
  </si>
  <si>
    <t xml:space="preserve">Concept drift and adversarial robustness</t>
  </si>
  <si>
    <t xml:space="preserve">Few studies test robustness; CICIoT2023 under 5% of robustness corpus</t>
  </si>
  <si>
    <t xml:space="preserve">1, 5, 8, 13</t>
  </si>
  <si>
    <t xml:space="preserve">Privacy beyond data locality in federated IDS</t>
  </si>
  <si>
    <t xml:space="preserve">Differential privacy and secure aggregation rare; federated stage of one preprint not run</t>
  </si>
  <si>
    <t xml:space="preserve">5, 14, 18, 20</t>
  </si>
  <si>
    <t xml:space="preserve">Production and streaming validation</t>
  </si>
  <si>
    <t xml:space="preserve">None of 125 reviewed papers validates in production</t>
  </si>
  <si>
    <t xml:space="preserve">13, 16</t>
  </si>
  <si>
    <t xml:space="preserve">Measured prevention/response</t>
  </si>
  <si>
    <t xml:space="preserve">Prevention claims judged only by classification metrics</t>
  </si>
  <si>
    <t xml:space="preserve">9</t>
  </si>
  <si>
    <t xml:space="preserve">Realistic operational benchmarks</t>
  </si>
  <si>
    <t xml:space="preserve">Real-traffic LITNET gives lowest macro-F1</t>
  </si>
  <si>
    <t xml:space="preserve">15</t>
  </si>
  <si>
    <t xml:space="preserve">Citation</t>
  </si>
  <si>
    <t xml:space="preserve">DOI</t>
  </si>
  <si>
    <t xml:space="preserve">Poltoratskyi, V., &amp; Gavrylenko, S. (2026). The Evolution of Intrusion Detection Systems: A Comprehensive Review of Modern Datasets, Deep Learning Approaches, and Architectural Challenges. Advanced Information Systems, 10(2), 100-116.</t>
  </si>
  <si>
    <t xml:space="preserve">10.20998/2522-9052.2026.2.11</t>
  </si>
  <si>
    <t xml:space="preserve">Rivandi, E., &amp; Oskouei, R. J. (2025). A Novel Approach for Developing Intrusion Detection Systems in Mobile Social Networks. J. Soft Computing and Decision Analytics, 3(1), 158-170.</t>
  </si>
  <si>
    <t xml:space="preserve">10.31181/jscda31202576</t>
  </si>
  <si>
    <t xml:space="preserve">Meena, G., &amp; Indian, A. (2025). IDS-IoT: Intrusion Detection System for the Internet of Things Using Enhanced Long-Short Term Memory. Artificial Intelligence and Applications.</t>
  </si>
  <si>
    <t xml:space="preserve">10.47852/bonviewAIA52025066</t>
  </si>
  <si>
    <t xml:space="preserve">Kwari, M. I., &amp; Rajkumar, N. (2025). An Enhanced Voting Ensemble Model for IoT Intrusion Detection Using the CICIoT2023 Dataset. IGCAI 2025, 67-77.</t>
  </si>
  <si>
    <t xml:space="preserve">10.63169/IGCAI2025.p9</t>
  </si>
  <si>
    <t xml:space="preserve">Salakhutdinov, R. (n.d.). Artificial Intelligence and Deep Learning for Network Intrusion Detection in Internet of Things Environments. Venue not stated.</t>
  </si>
  <si>
    <t xml:space="preserve">Imran, S., Yousaf, M., Shabeer, Z., Sarwar, M., &amp; Zainab, N. (2026). An Explainable AI-Driven Intrusion Detection Framework for IoT Networks Using Deep Learning and Machine Learning Models. J. Computers and Intelligent Systems, 4(2), 99-116.</t>
  </si>
  <si>
    <t xml:space="preserve">Hajjouz, A., &amp; Avksentieva, E. (2024). Optimizing Intrusion Detection for DoS, DDoS, and Mirai Attacks Subtypes Using Hierarchical Feature Selection and CatBoost on the CICIoT2023 Dataset. Data and Metadata, 3, 577.</t>
  </si>
  <si>
    <t xml:space="preserve">10.56294/dm2024.577</t>
  </si>
  <si>
    <t xml:space="preserve">Winanto, E. A., &amp; Idris, M. Y. (2026). Adversarial Robustness of Deep Learning-Based Intrusion Detection Systems: A Systematic Literature Review. IEEE Access, 14.</t>
  </si>
  <si>
    <t xml:space="preserve">10.1109/ACCESS.2026.3733985</t>
  </si>
  <si>
    <t xml:space="preserve">Erskine, S. K. (2025). Real-Time Large-Scale Intrusion Detection and Prevention System (IDPS) CICIoT Dataset Traffic Assessment Based on Deep Learning. Applied System Innovation, 8, 52.</t>
  </si>
  <si>
    <t xml:space="preserve">10.3390/asi8020052</t>
  </si>
  <si>
    <t xml:space="preserve">Diana, L., Dini, P., &amp; Paolini, D. (2025). Overview on Intrusion Detection Systems for Computers Networking Security. Computers, 14, 87.</t>
  </si>
  <si>
    <t xml:space="preserve">10.3390/computers14030087</t>
  </si>
  <si>
    <t xml:space="preserve">Yaras, S., &amp; Dener, M. (2024). IoT-Based Intrusion Detection System Using New Hybrid Deep Learning Algorithm. Electronics, 13, 1053.</t>
  </si>
  <si>
    <t xml:space="preserve">10.3390/electronics13061053</t>
  </si>
  <si>
    <t xml:space="preserve">Mughogho, E. (2025). Enhancing IoT Network Security Through Intrusion Detection Using Machine Learning. MSc research project, National College of Ireland.</t>
  </si>
  <si>
    <t xml:space="preserve">Ahmed, A., Mostafa, R., Qutqut, M. H., &amp; Ragab, N. (2026). A Systematic Literature Review on Machine Learning for Intrusion Detection Systems. Future Internet, 18, 470.</t>
  </si>
  <si>
    <t xml:space="preserve">10.3390/fi18090470</t>
  </si>
  <si>
    <t xml:space="preserve">Bunko, T., Johnstone, M. N., Yang, W., &amp; Scott, B. A. (2026). A survey of privacy-preserving federated learning for intrusion detection systems. Artificial Intelligence Review, 59, 125.</t>
  </si>
  <si>
    <t xml:space="preserve">10.1007/s10462-026-11519-4</t>
  </si>
  <si>
    <t xml:space="preserve">Mondragon, J. C., et al. (2025). Advanced IDS: a comparative study of datasets and machine learning algorithms for network flow-based intrusion detection systems. Applied Intelligence, 55, 608.</t>
  </si>
  <si>
    <t xml:space="preserve">10.1007/s10489-025-06422-4</t>
  </si>
  <si>
    <t xml:space="preserve">Almahaqeri, S. A., et al. (2026). An optimized gradient boosting framework for IoT intrusion detection: a comprehensive evaluation on the CICIoT2023 dataset. Scientific Reports.</t>
  </si>
  <si>
    <t xml:space="preserve">10.1038/s41598-026-47399-5</t>
  </si>
  <si>
    <t xml:space="preserve">Khan, M. Z., et al. (2026). A resource efficient IoT intrusion detection model using hybrid feature selection for edge computing. Scientific Reports.</t>
  </si>
  <si>
    <t xml:space="preserve">10.1038/s41598-026-59156-9</t>
  </si>
  <si>
    <t xml:space="preserve">Mallidi, S. K. R., &amp; Ramisetty, R. R. (2025). Advancements in training and deployment strategies for AI-based intrusion detection systems in IoT: a systematic literature review. Discover Internet of Things, 5, 8.</t>
  </si>
  <si>
    <t xml:space="preserve">10.1007/s43926-025-00099-4</t>
  </si>
  <si>
    <t xml:space="preserve">Hozouri, A., Mirzaei, A., &amp; Effatparvar, M. (2025). A comprehensive survey on intrusion detection systems with advances in machine learning, deep learning and emerging cybersecurity challenges. Discover Artificial Intelligence, 5, 314.</t>
  </si>
  <si>
    <t xml:space="preserve">10.1007/s44163-025-00578-1</t>
  </si>
  <si>
    <t xml:space="preserve">Mishra, S., &amp; Reddy, R. V. S. (2026). Federated Hybrid Deep Learning Framework for IoT Intrusion Detection Using N-BaIoT, CICIoT2023, and BoT-IoT Datasets (preprint). Research Square.</t>
  </si>
  <si>
    <t xml:space="preserve">10.21203/rs.3.rs-10580856/v1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</si>
</sst>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0.0%"/>
    <numFmt numFmtId="166" formatCode="0.0"/>
    <numFmt numFmtId="167" formatCode="0%"/>
    <numFmt numFmtId="168" formatCode="#,##0"/>
    <numFmt numFmtId="169" formatCode="0.00%"/>
    <numFmt numFmtId="170" formatCode="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sz val="10"/>
      <color rgb="FF0000FF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8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78787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F81BD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Studies covering each theme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Summary!B21</c:f>
              <c:strCache>
                <c:ptCount val="1"/>
                <c:pt idx="0">
                  <c:v>Studies covering it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Summary!$A$22:$A$29</c:f>
              <c:strCache>
                <c:ptCount val="8"/>
                <c:pt idx="0">
                  <c:v>ML / ensembles</c:v>
                </c:pt>
                <c:pt idx="1">
                  <c:v>Deep learning</c:v>
                </c:pt>
                <c:pt idx="2">
                  <c:v>Explainable AI</c:v>
                </c:pt>
                <c:pt idx="3">
                  <c:v>Federated / privacy</c:v>
                </c:pt>
                <c:pt idx="4">
                  <c:v>Adversarial robustness</c:v>
                </c:pt>
                <c:pt idx="5">
                  <c:v>Class imbalance</c:v>
                </c:pt>
                <c:pt idx="6">
                  <c:v>Edge / efficiency</c:v>
                </c:pt>
                <c:pt idx="7">
                  <c:v>Multiple datasets / benchmarking</c:v>
                </c:pt>
              </c:strCache>
            </c:strRef>
          </c:cat>
          <c:val>
            <c:numRef>
              <c:f>Summary!$B$22:$B$29</c:f>
              <c:numCache>
                <c:formatCode>General</c:formatCode>
                <c:ptCount val="8"/>
                <c:pt idx="0">
                  <c:v>17</c:v>
                </c:pt>
                <c:pt idx="1">
                  <c:v>12</c:v>
                </c:pt>
                <c:pt idx="2">
                  <c:v>5</c:v>
                </c:pt>
                <c:pt idx="3">
                  <c:v>5</c:v>
                </c:pt>
                <c:pt idx="4">
                  <c:v>5</c:v>
                </c:pt>
                <c:pt idx="5">
                  <c:v>10</c:v>
                </c:pt>
                <c:pt idx="6">
                  <c:v>7</c:v>
                </c:pt>
                <c:pt idx="7">
                  <c:v>13</c:v>
                </c:pt>
              </c:numCache>
            </c:numRef>
          </c:val>
        </c:ser>
        <c:gapWidth val="150"/>
        <c:overlap val="0"/>
        <c:axId val="88168477"/>
        <c:axId val="95197092"/>
      </c:barChart>
      <c:catAx>
        <c:axId val="88168477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5197092"/>
        <c:crosses val="autoZero"/>
        <c:auto val="1"/>
        <c:lblAlgn val="ctr"/>
        <c:lblOffset val="100"/>
        <c:noMultiLvlLbl val="0"/>
      </c:catAx>
      <c:valAx>
        <c:axId val="9519709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8168477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Studies by publication year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Summary!B32</c:f>
              <c:strCache>
                <c:ptCount val="1"/>
                <c:pt idx="0">
                  <c:v>Studies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Summary!$A$33:$A$35</c:f>
              <c:strCache>
                <c:ptCount val="3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</c:strCache>
            </c:strRef>
          </c:cat>
          <c:val>
            <c:numRef>
              <c:f>Summary!$B$33:$B$35</c:f>
              <c:numCache>
                <c:formatCode>General</c:formatCode>
                <c:ptCount val="3"/>
                <c:pt idx="0">
                  <c:v>2</c:v>
                </c:pt>
                <c:pt idx="1">
                  <c:v>9</c:v>
                </c:pt>
                <c:pt idx="2">
                  <c:v>8</c:v>
                </c:pt>
              </c:numCache>
            </c:numRef>
          </c:val>
        </c:ser>
        <c:gapWidth val="150"/>
        <c:overlap val="0"/>
        <c:axId val="80930281"/>
        <c:axId val="38965733"/>
      </c:barChart>
      <c:catAx>
        <c:axId val="80930281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8965733"/>
        <c:crosses val="autoZero"/>
        <c:auto val="1"/>
        <c:lblAlgn val="ctr"/>
        <c:lblOffset val="100"/>
        <c:noMultiLvlLbl val="0"/>
      </c:catAx>
      <c:valAx>
        <c:axId val="3896573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0930281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0</xdr:colOff>
      <xdr:row>1</xdr:row>
      <xdr:rowOff>160560</xdr:rowOff>
    </xdr:from>
    <xdr:to>
      <xdr:col>14</xdr:col>
      <xdr:colOff>364320</xdr:colOff>
      <xdr:row>18</xdr:row>
      <xdr:rowOff>161280</xdr:rowOff>
    </xdr:to>
    <xdr:graphicFrame>
      <xdr:nvGraphicFramePr>
        <xdr:cNvPr id="0" name="Chart 1"/>
        <xdr:cNvGraphicFramePr/>
      </xdr:nvGraphicFramePr>
      <xdr:xfrm>
        <a:off x="6532200" y="379800"/>
        <a:ext cx="6479280" cy="32389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4</xdr:col>
      <xdr:colOff>0</xdr:colOff>
      <xdr:row>21</xdr:row>
      <xdr:rowOff>160920</xdr:rowOff>
    </xdr:from>
    <xdr:to>
      <xdr:col>11</xdr:col>
      <xdr:colOff>38520</xdr:colOff>
      <xdr:row>35</xdr:row>
      <xdr:rowOff>12960</xdr:rowOff>
    </xdr:to>
    <xdr:graphicFrame>
      <xdr:nvGraphicFramePr>
        <xdr:cNvPr id="1" name="Chart 2"/>
        <xdr:cNvGraphicFramePr/>
      </xdr:nvGraphicFramePr>
      <xdr:xfrm>
        <a:off x="6532200" y="4190040"/>
        <a:ext cx="4319280" cy="25189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5"/>
  </cols>
  <sheetData>
    <row r="1" customFormat="false" ht="17.25" hidden="false" customHeight="true" outlineLevel="0" collapsed="false">
      <c r="A1" s="2" t="s">
        <v>0</v>
      </c>
    </row>
    <row r="3" customFormat="false" ht="15" hidden="false" customHeight="true" outlineLevel="0" collapsed="false">
      <c r="A3" s="3" t="s">
        <v>1</v>
      </c>
    </row>
    <row r="4" customFormat="false" ht="15" hidden="false" customHeight="true" outlineLevel="0" collapsed="false">
      <c r="A4" s="3"/>
    </row>
    <row r="5" customFormat="false" ht="15" hidden="false" customHeight="true" outlineLevel="0" collapsed="false">
      <c r="A5" s="4" t="s">
        <v>2</v>
      </c>
    </row>
    <row r="6" customFormat="false" ht="15" hidden="false" customHeight="true" outlineLevel="0" collapsed="false">
      <c r="A6" s="3" t="s">
        <v>3</v>
      </c>
    </row>
    <row r="7" customFormat="false" ht="15" hidden="false" customHeight="true" outlineLevel="0" collapsed="false">
      <c r="A7" s="3" t="s">
        <v>4</v>
      </c>
    </row>
    <row r="8" customFormat="false" ht="15" hidden="false" customHeight="true" outlineLevel="0" collapsed="false">
      <c r="A8" s="3" t="s">
        <v>5</v>
      </c>
    </row>
    <row r="9" customFormat="false" ht="15" hidden="false" customHeight="true" outlineLevel="0" collapsed="false">
      <c r="A9" s="3" t="s">
        <v>6</v>
      </c>
    </row>
    <row r="10" customFormat="false" ht="15" hidden="false" customHeight="true" outlineLevel="0" collapsed="false">
      <c r="A10" s="3" t="s">
        <v>7</v>
      </c>
    </row>
    <row r="11" customFormat="false" ht="15" hidden="false" customHeight="true" outlineLevel="0" collapsed="false">
      <c r="A11" s="3" t="s">
        <v>8</v>
      </c>
    </row>
    <row r="12" customFormat="false" ht="15" hidden="false" customHeight="true" outlineLevel="0" collapsed="false">
      <c r="A12" s="3"/>
    </row>
    <row r="13" customFormat="false" ht="15" hidden="false" customHeight="true" outlineLevel="0" collapsed="false">
      <c r="A13" s="3" t="s">
        <v>9</v>
      </c>
    </row>
    <row r="14" customFormat="false" ht="15" hidden="false" customHeight="true" outlineLevel="0" collapsed="false">
      <c r="A14" s="3"/>
    </row>
    <row r="15" customFormat="false" ht="15" hidden="false" customHeight="true" outlineLevel="0" collapsed="false">
      <c r="A15" s="4" t="s">
        <v>10</v>
      </c>
    </row>
    <row r="16" customFormat="false" ht="15" hidden="false" customHeight="true" outlineLevel="0" collapsed="false">
      <c r="A16" s="3" t="s">
        <v>11</v>
      </c>
    </row>
    <row r="17" customFormat="false" ht="15" hidden="false" customHeight="true" outlineLevel="0" collapsed="false">
      <c r="A17" s="3" t="s">
        <v>12</v>
      </c>
    </row>
    <row r="18" customFormat="false" ht="15" hidden="false" customHeight="true" outlineLevel="0" collapsed="false">
      <c r="A18" s="3" t="s">
        <v>13</v>
      </c>
    </row>
    <row r="19" customFormat="false" ht="15" hidden="false" customHeight="true" outlineLevel="0" collapsed="false">
      <c r="A19" s="3" t="s">
        <v>14</v>
      </c>
    </row>
    <row r="20" customFormat="false" ht="15" hidden="false" customHeight="true" outlineLevel="0" collapsed="false">
      <c r="A20" s="3" t="s">
        <v>15</v>
      </c>
    </row>
    <row r="21" customFormat="false" ht="15" hidden="false" customHeight="true" outlineLevel="0" collapsed="false">
      <c r="A21" s="3" t="s">
        <v>16</v>
      </c>
    </row>
    <row r="22" customFormat="false" ht="15" hidden="false" customHeight="true" outlineLevel="0" collapsed="false">
      <c r="A22" s="3" t="s">
        <v>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8"/>
    <col collapsed="false" customWidth="true" hidden="false" outlineLevel="0" max="2" min="2" style="1" width="20"/>
    <col collapsed="false" customWidth="true" hidden="false" outlineLevel="0" max="3" min="3" style="1" width="16"/>
  </cols>
  <sheetData>
    <row r="1" customFormat="false" ht="17.25" hidden="false" customHeight="true" outlineLevel="0" collapsed="false">
      <c r="A1" s="2" t="s">
        <v>18</v>
      </c>
    </row>
    <row r="3" customFormat="false" ht="15" hidden="false" customHeight="true" outlineLevel="0" collapsed="false">
      <c r="A3" s="5" t="s">
        <v>19</v>
      </c>
      <c r="B3" s="5" t="s">
        <v>20</v>
      </c>
    </row>
    <row r="4" customFormat="false" ht="15" hidden="false" customHeight="true" outlineLevel="0" collapsed="false">
      <c r="A4" s="6" t="s">
        <v>21</v>
      </c>
      <c r="B4" s="6" t="n">
        <f aca="false">COUNTA(Studies!B2:B21)</f>
        <v>20</v>
      </c>
    </row>
    <row r="5" customFormat="false" ht="15" hidden="false" customHeight="true" outlineLevel="0" collapsed="false">
      <c r="A5" s="6" t="s">
        <v>22</v>
      </c>
      <c r="B5" s="6" t="n">
        <f aca="false">COUNTIF(Studies!F2:F21,"Review")+COUNTIF(Studies!F2:F21,"Survey")+COUNTIF(Studies!F2:F21,"Systematic review")</f>
        <v>8</v>
      </c>
    </row>
    <row r="6" customFormat="false" ht="15" hidden="false" customHeight="true" outlineLevel="0" collapsed="false">
      <c r="A6" s="6" t="s">
        <v>23</v>
      </c>
      <c r="B6" s="6" t="n">
        <f aca="false">COUNTIF(Studies!F2:F21,"Experimental")</f>
        <v>11</v>
      </c>
    </row>
    <row r="7" customFormat="false" ht="15" hidden="false" customHeight="true" outlineLevel="0" collapsed="false">
      <c r="A7" s="6" t="s">
        <v>24</v>
      </c>
      <c r="B7" s="6" t="n">
        <f aca="false">COUNTIF(Studies!F2:F21,"Benchmark")</f>
        <v>1</v>
      </c>
    </row>
    <row r="8" customFormat="false" ht="15" hidden="false" customHeight="true" outlineLevel="0" collapsed="false">
      <c r="A8" s="6" t="s">
        <v>25</v>
      </c>
      <c r="B8" s="6" t="n">
        <f aca="false">COUNTIF(Studies!C2:C21,2024)</f>
        <v>2</v>
      </c>
    </row>
    <row r="9" customFormat="false" ht="15" hidden="false" customHeight="true" outlineLevel="0" collapsed="false">
      <c r="A9" s="6" t="s">
        <v>26</v>
      </c>
      <c r="B9" s="6" t="n">
        <f aca="false">COUNTIF(Studies!C2:C21,2025)</f>
        <v>9</v>
      </c>
    </row>
    <row r="10" customFormat="false" ht="15" hidden="false" customHeight="true" outlineLevel="0" collapsed="false">
      <c r="A10" s="6" t="s">
        <v>27</v>
      </c>
      <c r="B10" s="6" t="n">
        <f aca="false">COUNTIF(Studies!C2:C21,2026)</f>
        <v>8</v>
      </c>
    </row>
    <row r="11" customFormat="false" ht="15" hidden="false" customHeight="true" outlineLevel="0" collapsed="false">
      <c r="A11" s="6" t="s">
        <v>28</v>
      </c>
      <c r="B11" s="6" t="n">
        <f aca="false">COUNTIF(Studies!C2:C21,"n.d.")</f>
        <v>1</v>
      </c>
    </row>
    <row r="12" customFormat="false" ht="15" hidden="false" customHeight="true" outlineLevel="0" collapsed="false">
      <c r="A12" s="6" t="s">
        <v>29</v>
      </c>
      <c r="B12" s="6" t="n">
        <f aca="false">COUNTIF(Studies!G2:G21,"Peer-reviewed journal")</f>
        <v>16</v>
      </c>
    </row>
    <row r="13" customFormat="false" ht="15" hidden="false" customHeight="true" outlineLevel="0" collapsed="false">
      <c r="A13" s="6" t="s">
        <v>30</v>
      </c>
      <c r="B13" s="6" t="n">
        <f aca="false">B4-B12</f>
        <v>4</v>
      </c>
    </row>
    <row r="14" customFormat="false" ht="15" hidden="false" customHeight="true" outlineLevel="0" collapsed="false">
      <c r="A14" s="6" t="s">
        <v>31</v>
      </c>
      <c r="B14" s="6" t="n">
        <f aca="false">COUNTIFS(Studies!F2:F21,"Experimental",Studies!L2:L21,"Yes")</f>
        <v>10</v>
      </c>
    </row>
    <row r="15" customFormat="false" ht="15" hidden="false" customHeight="true" outlineLevel="0" collapsed="false">
      <c r="A15" s="6" t="s">
        <v>32</v>
      </c>
      <c r="B15" s="7" t="n">
        <f aca="false">B14/B6</f>
        <v>0.909090909090909</v>
      </c>
    </row>
    <row r="16" customFormat="false" ht="15" hidden="false" customHeight="true" outlineLevel="0" collapsed="false">
      <c r="A16" s="6" t="s">
        <v>33</v>
      </c>
      <c r="B16" s="8" t="n">
        <f aca="false">AVERAGE(Studies!U2:U21)</f>
        <v>3.7</v>
      </c>
    </row>
    <row r="17" customFormat="false" ht="15" hidden="false" customHeight="true" outlineLevel="0" collapsed="false">
      <c r="A17" s="6" t="s">
        <v>34</v>
      </c>
      <c r="B17" s="6" t="n">
        <f aca="false">COUNTA(Gaps!B2:B12)</f>
        <v>11</v>
      </c>
    </row>
    <row r="20" customFormat="false" ht="15" hidden="false" customHeight="true" outlineLevel="0" collapsed="false">
      <c r="A20" s="4" t="s">
        <v>35</v>
      </c>
    </row>
    <row r="21" customFormat="false" ht="15" hidden="false" customHeight="true" outlineLevel="0" collapsed="false">
      <c r="A21" s="5" t="s">
        <v>36</v>
      </c>
      <c r="B21" s="5" t="s">
        <v>37</v>
      </c>
      <c r="C21" s="5" t="s">
        <v>38</v>
      </c>
    </row>
    <row r="22" customFormat="false" ht="15" hidden="false" customHeight="true" outlineLevel="0" collapsed="false">
      <c r="A22" s="6" t="s">
        <v>39</v>
      </c>
      <c r="B22" s="6" t="n">
        <f aca="false">SUM(Studies!M2:M21)</f>
        <v>17</v>
      </c>
      <c r="C22" s="9" t="n">
        <f aca="false">B22/$B$4</f>
        <v>0.85</v>
      </c>
    </row>
    <row r="23" customFormat="false" ht="15" hidden="false" customHeight="true" outlineLevel="0" collapsed="false">
      <c r="A23" s="6" t="s">
        <v>40</v>
      </c>
      <c r="B23" s="6" t="n">
        <f aca="false">SUM(Studies!N2:N21)</f>
        <v>12</v>
      </c>
      <c r="C23" s="9" t="n">
        <f aca="false">B23/$B$4</f>
        <v>0.6</v>
      </c>
    </row>
    <row r="24" customFormat="false" ht="15" hidden="false" customHeight="true" outlineLevel="0" collapsed="false">
      <c r="A24" s="6" t="s">
        <v>41</v>
      </c>
      <c r="B24" s="6" t="n">
        <f aca="false">SUM(Studies!O2:O21)</f>
        <v>5</v>
      </c>
      <c r="C24" s="9" t="n">
        <f aca="false">B24/$B$4</f>
        <v>0.25</v>
      </c>
    </row>
    <row r="25" customFormat="false" ht="15" hidden="false" customHeight="true" outlineLevel="0" collapsed="false">
      <c r="A25" s="6" t="s">
        <v>42</v>
      </c>
      <c r="B25" s="6" t="n">
        <f aca="false">SUM(Studies!P2:P21)</f>
        <v>5</v>
      </c>
      <c r="C25" s="9" t="n">
        <f aca="false">B25/$B$4</f>
        <v>0.25</v>
      </c>
    </row>
    <row r="26" customFormat="false" ht="15" hidden="false" customHeight="true" outlineLevel="0" collapsed="false">
      <c r="A26" s="6" t="s">
        <v>43</v>
      </c>
      <c r="B26" s="6" t="n">
        <f aca="false">SUM(Studies!Q2:Q21)</f>
        <v>5</v>
      </c>
      <c r="C26" s="9" t="n">
        <f aca="false">B26/$B$4</f>
        <v>0.25</v>
      </c>
    </row>
    <row r="27" customFormat="false" ht="15" hidden="false" customHeight="true" outlineLevel="0" collapsed="false">
      <c r="A27" s="6" t="s">
        <v>44</v>
      </c>
      <c r="B27" s="6" t="n">
        <f aca="false">SUM(Studies!R2:R21)</f>
        <v>10</v>
      </c>
      <c r="C27" s="9" t="n">
        <f aca="false">B27/$B$4</f>
        <v>0.5</v>
      </c>
    </row>
    <row r="28" customFormat="false" ht="15" hidden="false" customHeight="true" outlineLevel="0" collapsed="false">
      <c r="A28" s="6" t="s">
        <v>45</v>
      </c>
      <c r="B28" s="6" t="n">
        <f aca="false">SUM(Studies!S2:S21)</f>
        <v>7</v>
      </c>
      <c r="C28" s="9" t="n">
        <f aca="false">B28/$B$4</f>
        <v>0.35</v>
      </c>
    </row>
    <row r="29" customFormat="false" ht="15" hidden="false" customHeight="true" outlineLevel="0" collapsed="false">
      <c r="A29" s="6" t="s">
        <v>46</v>
      </c>
      <c r="B29" s="6" t="n">
        <f aca="false">SUM(Studies!T2:T21)</f>
        <v>13</v>
      </c>
      <c r="C29" s="9" t="n">
        <f aca="false">B29/$B$4</f>
        <v>0.65</v>
      </c>
    </row>
    <row r="31" customFormat="false" ht="15" hidden="false" customHeight="true" outlineLevel="0" collapsed="false">
      <c r="A31" s="4" t="s">
        <v>47</v>
      </c>
    </row>
    <row r="32" customFormat="false" ht="15" hidden="false" customHeight="true" outlineLevel="0" collapsed="false">
      <c r="A32" s="5" t="s">
        <v>48</v>
      </c>
      <c r="B32" s="5" t="s">
        <v>49</v>
      </c>
    </row>
    <row r="33" customFormat="false" ht="15" hidden="false" customHeight="true" outlineLevel="0" collapsed="false">
      <c r="A33" s="6" t="s">
        <v>50</v>
      </c>
      <c r="B33" s="6" t="n">
        <f aca="false">B8</f>
        <v>2</v>
      </c>
    </row>
    <row r="34" customFormat="false" ht="15" hidden="false" customHeight="true" outlineLevel="0" collapsed="false">
      <c r="A34" s="6" t="s">
        <v>51</v>
      </c>
      <c r="B34" s="6" t="n">
        <f aca="false">B9</f>
        <v>9</v>
      </c>
    </row>
    <row r="35" customFormat="false" ht="15" hidden="false" customHeight="true" outlineLevel="0" collapsed="false">
      <c r="A35" s="6" t="s">
        <v>52</v>
      </c>
      <c r="B35" s="6" t="n">
        <f aca="false">B10</f>
        <v>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6"/>
    <col collapsed="false" customWidth="true" hidden="false" outlineLevel="0" max="3" min="3" style="0" width="7"/>
    <col collapsed="false" customWidth="true" hidden="false" outlineLevel="0" max="4" min="4" style="0" width="38"/>
    <col collapsed="false" customWidth="true" hidden="false" outlineLevel="0" max="6" min="5" style="0" width="60"/>
    <col collapsed="false" customWidth="true" hidden="false" outlineLevel="0" max="7" min="7" style="0" width="44"/>
  </cols>
  <sheetData>
    <row r="1" customFormat="false" ht="15" hidden="false" customHeight="false" outlineLevel="0" collapsed="false">
      <c r="A1" s="5" t="s">
        <v>53</v>
      </c>
      <c r="B1" s="5" t="s">
        <v>54</v>
      </c>
      <c r="C1" s="5" t="s">
        <v>48</v>
      </c>
      <c r="D1" s="5" t="s">
        <v>55</v>
      </c>
      <c r="E1" s="5" t="s">
        <v>56</v>
      </c>
      <c r="F1" s="5" t="s">
        <v>57</v>
      </c>
      <c r="G1" s="5" t="s">
        <v>58</v>
      </c>
    </row>
    <row r="2" customFormat="false" ht="46.25" hidden="false" customHeight="false" outlineLevel="0" collapsed="false">
      <c r="A2" s="10" t="n">
        <v>1</v>
      </c>
      <c r="B2" s="10" t="s">
        <v>59</v>
      </c>
      <c r="C2" s="10" t="n">
        <v>2026</v>
      </c>
      <c r="D2" s="11" t="s">
        <v>60</v>
      </c>
      <c r="E2" s="11" t="s">
        <v>61</v>
      </c>
      <c r="F2" s="11" t="s">
        <v>62</v>
      </c>
      <c r="G2" s="11" t="s">
        <v>63</v>
      </c>
    </row>
    <row r="3" customFormat="false" ht="46.25" hidden="false" customHeight="false" outlineLevel="0" collapsed="false">
      <c r="A3" s="10" t="n">
        <v>2</v>
      </c>
      <c r="B3" s="10" t="s">
        <v>64</v>
      </c>
      <c r="C3" s="10" t="n">
        <v>2025</v>
      </c>
      <c r="D3" s="11" t="s">
        <v>65</v>
      </c>
      <c r="E3" s="11" t="s">
        <v>66</v>
      </c>
      <c r="F3" s="11" t="s">
        <v>67</v>
      </c>
      <c r="G3" s="11" t="s">
        <v>68</v>
      </c>
    </row>
    <row r="4" customFormat="false" ht="35.05" hidden="false" customHeight="false" outlineLevel="0" collapsed="false">
      <c r="A4" s="10" t="n">
        <v>3</v>
      </c>
      <c r="B4" s="10" t="s">
        <v>69</v>
      </c>
      <c r="C4" s="10" t="n">
        <v>2025</v>
      </c>
      <c r="D4" s="11" t="s">
        <v>70</v>
      </c>
      <c r="E4" s="11" t="s">
        <v>71</v>
      </c>
      <c r="F4" s="11" t="s">
        <v>72</v>
      </c>
      <c r="G4" s="11" t="s">
        <v>73</v>
      </c>
    </row>
    <row r="5" customFormat="false" ht="23.85" hidden="false" customHeight="false" outlineLevel="0" collapsed="false">
      <c r="A5" s="10" t="n">
        <v>4</v>
      </c>
      <c r="B5" s="10" t="s">
        <v>74</v>
      </c>
      <c r="C5" s="10" t="n">
        <v>2025</v>
      </c>
      <c r="D5" s="11" t="s">
        <v>75</v>
      </c>
      <c r="E5" s="11" t="s">
        <v>76</v>
      </c>
      <c r="F5" s="11" t="s">
        <v>77</v>
      </c>
      <c r="G5" s="11" t="s">
        <v>78</v>
      </c>
    </row>
    <row r="6" customFormat="false" ht="35.05" hidden="false" customHeight="false" outlineLevel="0" collapsed="false">
      <c r="A6" s="10" t="n">
        <v>5</v>
      </c>
      <c r="B6" s="10" t="s">
        <v>79</v>
      </c>
      <c r="C6" s="10" t="s">
        <v>80</v>
      </c>
      <c r="D6" s="11" t="s">
        <v>81</v>
      </c>
      <c r="E6" s="11" t="s">
        <v>82</v>
      </c>
      <c r="F6" s="11" t="s">
        <v>83</v>
      </c>
      <c r="G6" s="11" t="s">
        <v>84</v>
      </c>
    </row>
    <row r="7" customFormat="false" ht="35.05" hidden="false" customHeight="false" outlineLevel="0" collapsed="false">
      <c r="A7" s="10" t="n">
        <v>6</v>
      </c>
      <c r="B7" s="10" t="s">
        <v>85</v>
      </c>
      <c r="C7" s="10" t="n">
        <v>2026</v>
      </c>
      <c r="D7" s="11" t="s">
        <v>86</v>
      </c>
      <c r="E7" s="11" t="s">
        <v>87</v>
      </c>
      <c r="F7" s="11" t="s">
        <v>88</v>
      </c>
      <c r="G7" s="11" t="s">
        <v>89</v>
      </c>
    </row>
    <row r="8" customFormat="false" ht="23.85" hidden="false" customHeight="false" outlineLevel="0" collapsed="false">
      <c r="A8" s="10" t="n">
        <v>7</v>
      </c>
      <c r="B8" s="10" t="s">
        <v>90</v>
      </c>
      <c r="C8" s="10" t="n">
        <v>2024</v>
      </c>
      <c r="D8" s="11" t="s">
        <v>91</v>
      </c>
      <c r="E8" s="11" t="s">
        <v>92</v>
      </c>
      <c r="F8" s="11" t="s">
        <v>93</v>
      </c>
      <c r="G8" s="11" t="s">
        <v>94</v>
      </c>
    </row>
    <row r="9" customFormat="false" ht="23.85" hidden="false" customHeight="false" outlineLevel="0" collapsed="false">
      <c r="A9" s="10" t="n">
        <v>8</v>
      </c>
      <c r="B9" s="10" t="s">
        <v>95</v>
      </c>
      <c r="C9" s="10" t="n">
        <v>2026</v>
      </c>
      <c r="D9" s="11" t="s">
        <v>96</v>
      </c>
      <c r="E9" s="11" t="s">
        <v>97</v>
      </c>
      <c r="F9" s="11" t="s">
        <v>98</v>
      </c>
      <c r="G9" s="11" t="s">
        <v>99</v>
      </c>
    </row>
    <row r="10" customFormat="false" ht="23.85" hidden="false" customHeight="false" outlineLevel="0" collapsed="false">
      <c r="A10" s="10" t="n">
        <v>9</v>
      </c>
      <c r="B10" s="10" t="s">
        <v>100</v>
      </c>
      <c r="C10" s="10" t="n">
        <v>2025</v>
      </c>
      <c r="D10" s="11" t="s">
        <v>101</v>
      </c>
      <c r="E10" s="11" t="s">
        <v>102</v>
      </c>
      <c r="F10" s="11" t="s">
        <v>103</v>
      </c>
      <c r="G10" s="11" t="s">
        <v>104</v>
      </c>
    </row>
    <row r="11" customFormat="false" ht="23.85" hidden="false" customHeight="false" outlineLevel="0" collapsed="false">
      <c r="A11" s="10" t="n">
        <v>10</v>
      </c>
      <c r="B11" s="10" t="s">
        <v>105</v>
      </c>
      <c r="C11" s="10" t="n">
        <v>2025</v>
      </c>
      <c r="D11" s="11" t="s">
        <v>106</v>
      </c>
      <c r="E11" s="11" t="s">
        <v>107</v>
      </c>
      <c r="F11" s="11" t="s">
        <v>108</v>
      </c>
      <c r="G11" s="11" t="s">
        <v>109</v>
      </c>
    </row>
    <row r="12" customFormat="false" ht="23.85" hidden="false" customHeight="false" outlineLevel="0" collapsed="false">
      <c r="A12" s="10" t="n">
        <v>11</v>
      </c>
      <c r="B12" s="10" t="s">
        <v>110</v>
      </c>
      <c r="C12" s="10" t="n">
        <v>2024</v>
      </c>
      <c r="D12" s="11" t="s">
        <v>111</v>
      </c>
      <c r="E12" s="11" t="s">
        <v>112</v>
      </c>
      <c r="F12" s="11" t="s">
        <v>113</v>
      </c>
      <c r="G12" s="11" t="s">
        <v>114</v>
      </c>
    </row>
    <row r="13" customFormat="false" ht="23.85" hidden="false" customHeight="false" outlineLevel="0" collapsed="false">
      <c r="A13" s="10" t="n">
        <v>12</v>
      </c>
      <c r="B13" s="10" t="s">
        <v>115</v>
      </c>
      <c r="C13" s="10" t="n">
        <v>2025</v>
      </c>
      <c r="D13" s="11" t="s">
        <v>116</v>
      </c>
      <c r="E13" s="11" t="s">
        <v>117</v>
      </c>
      <c r="F13" s="11" t="s">
        <v>118</v>
      </c>
      <c r="G13" s="11" t="s">
        <v>119</v>
      </c>
    </row>
    <row r="14" customFormat="false" ht="35.05" hidden="false" customHeight="false" outlineLevel="0" collapsed="false">
      <c r="A14" s="10" t="n">
        <v>13</v>
      </c>
      <c r="B14" s="10" t="s">
        <v>120</v>
      </c>
      <c r="C14" s="10" t="n">
        <v>2026</v>
      </c>
      <c r="D14" s="11" t="s">
        <v>121</v>
      </c>
      <c r="E14" s="11" t="s">
        <v>122</v>
      </c>
      <c r="F14" s="11" t="s">
        <v>123</v>
      </c>
      <c r="G14" s="11" t="s">
        <v>124</v>
      </c>
    </row>
    <row r="15" customFormat="false" ht="23.85" hidden="false" customHeight="false" outlineLevel="0" collapsed="false">
      <c r="A15" s="10" t="n">
        <v>14</v>
      </c>
      <c r="B15" s="10" t="s">
        <v>125</v>
      </c>
      <c r="C15" s="10" t="n">
        <v>2026</v>
      </c>
      <c r="D15" s="11" t="s">
        <v>126</v>
      </c>
      <c r="E15" s="11" t="s">
        <v>127</v>
      </c>
      <c r="F15" s="11" t="s">
        <v>128</v>
      </c>
      <c r="G15" s="11" t="s">
        <v>129</v>
      </c>
    </row>
    <row r="16" customFormat="false" ht="23.85" hidden="false" customHeight="false" outlineLevel="0" collapsed="false">
      <c r="A16" s="10" t="n">
        <v>15</v>
      </c>
      <c r="B16" s="10" t="s">
        <v>130</v>
      </c>
      <c r="C16" s="10" t="n">
        <v>2025</v>
      </c>
      <c r="D16" s="11" t="s">
        <v>131</v>
      </c>
      <c r="E16" s="11" t="s">
        <v>132</v>
      </c>
      <c r="F16" s="11" t="s">
        <v>133</v>
      </c>
      <c r="G16" s="11" t="s">
        <v>134</v>
      </c>
    </row>
    <row r="17" customFormat="false" ht="35.05" hidden="false" customHeight="false" outlineLevel="0" collapsed="false">
      <c r="A17" s="10" t="n">
        <v>16</v>
      </c>
      <c r="B17" s="10" t="s">
        <v>135</v>
      </c>
      <c r="C17" s="10" t="n">
        <v>2026</v>
      </c>
      <c r="D17" s="11" t="s">
        <v>136</v>
      </c>
      <c r="E17" s="11" t="s">
        <v>137</v>
      </c>
      <c r="F17" s="11" t="s">
        <v>138</v>
      </c>
      <c r="G17" s="11" t="s">
        <v>139</v>
      </c>
    </row>
    <row r="18" customFormat="false" ht="23.85" hidden="false" customHeight="false" outlineLevel="0" collapsed="false">
      <c r="A18" s="10" t="n">
        <v>17</v>
      </c>
      <c r="B18" s="10" t="s">
        <v>140</v>
      </c>
      <c r="C18" s="10" t="n">
        <v>2026</v>
      </c>
      <c r="D18" s="11" t="s">
        <v>141</v>
      </c>
      <c r="E18" s="11" t="s">
        <v>142</v>
      </c>
      <c r="F18" s="11" t="s">
        <v>143</v>
      </c>
      <c r="G18" s="11" t="s">
        <v>144</v>
      </c>
    </row>
    <row r="19" customFormat="false" ht="23.85" hidden="false" customHeight="false" outlineLevel="0" collapsed="false">
      <c r="A19" s="10" t="n">
        <v>18</v>
      </c>
      <c r="B19" s="10" t="s">
        <v>145</v>
      </c>
      <c r="C19" s="10" t="n">
        <v>2025</v>
      </c>
      <c r="D19" s="11" t="s">
        <v>146</v>
      </c>
      <c r="E19" s="11" t="s">
        <v>147</v>
      </c>
      <c r="F19" s="11" t="s">
        <v>148</v>
      </c>
      <c r="G19" s="11" t="s">
        <v>149</v>
      </c>
    </row>
    <row r="20" customFormat="false" ht="23.85" hidden="false" customHeight="false" outlineLevel="0" collapsed="false">
      <c r="A20" s="10" t="n">
        <v>19</v>
      </c>
      <c r="B20" s="10" t="s">
        <v>150</v>
      </c>
      <c r="C20" s="10" t="n">
        <v>2025</v>
      </c>
      <c r="D20" s="11" t="s">
        <v>151</v>
      </c>
      <c r="E20" s="11" t="s">
        <v>152</v>
      </c>
      <c r="F20" s="11" t="s">
        <v>153</v>
      </c>
      <c r="G20" s="11" t="s">
        <v>154</v>
      </c>
    </row>
    <row r="21" customFormat="false" ht="35.05" hidden="false" customHeight="false" outlineLevel="0" collapsed="false">
      <c r="A21" s="10" t="n">
        <v>20</v>
      </c>
      <c r="B21" s="10" t="s">
        <v>155</v>
      </c>
      <c r="C21" s="10" t="n">
        <v>2026</v>
      </c>
      <c r="D21" s="11" t="s">
        <v>156</v>
      </c>
      <c r="E21" s="11" t="s">
        <v>157</v>
      </c>
      <c r="F21" s="11" t="s">
        <v>158</v>
      </c>
      <c r="G21" s="11" t="s">
        <v>159</v>
      </c>
    </row>
    <row r="23" customFormat="false" ht="15" hidden="false" customHeight="false" outlineLevel="0" collapsed="false">
      <c r="B23" s="12" t="s">
        <v>160</v>
      </c>
    </row>
  </sheetData>
  <autoFilter ref="A1:G2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24"/>
    <col collapsed="false" customWidth="true" hidden="false" outlineLevel="0" max="3" min="3" style="1" width="7"/>
    <col collapsed="false" customWidth="true" hidden="false" outlineLevel="0" max="4" min="4" style="1" width="40"/>
    <col collapsed="false" customWidth="true" hidden="false" outlineLevel="0" max="5" min="5" style="1" width="28"/>
    <col collapsed="false" customWidth="true" hidden="false" outlineLevel="0" max="6" min="6" style="1" width="16"/>
    <col collapsed="false" customWidth="true" hidden="false" outlineLevel="0" max="7" min="7" style="1" width="18"/>
    <col collapsed="false" customWidth="true" hidden="false" outlineLevel="0" max="8" min="8" style="1" width="30"/>
    <col collapsed="false" customWidth="true" hidden="false" outlineLevel="0" max="9" min="9" style="1" width="40"/>
    <col collapsed="false" customWidth="true" hidden="false" outlineLevel="0" max="10" min="10" style="1" width="52"/>
    <col collapsed="false" customWidth="true" hidden="false" outlineLevel="0" max="11" min="11" style="1" width="44"/>
    <col collapsed="false" customWidth="true" hidden="false" outlineLevel="0" max="12" min="12" style="1" width="14"/>
    <col collapsed="false" customWidth="true" hidden="false" outlineLevel="0" max="20" min="13" style="1" width="11"/>
    <col collapsed="false" customWidth="true" hidden="false" outlineLevel="0" max="21" min="21" style="1" width="10"/>
  </cols>
  <sheetData>
    <row r="1" customFormat="false" ht="42" hidden="false" customHeight="true" outlineLevel="0" collapsed="false">
      <c r="A1" s="5" t="s">
        <v>53</v>
      </c>
      <c r="B1" s="5" t="s">
        <v>161</v>
      </c>
      <c r="C1" s="5" t="s">
        <v>48</v>
      </c>
      <c r="D1" s="5" t="s">
        <v>162</v>
      </c>
      <c r="E1" s="5" t="s">
        <v>163</v>
      </c>
      <c r="F1" s="5" t="s">
        <v>164</v>
      </c>
      <c r="G1" s="5" t="s">
        <v>165</v>
      </c>
      <c r="H1" s="5" t="s">
        <v>166</v>
      </c>
      <c r="I1" s="5" t="s">
        <v>167</v>
      </c>
      <c r="J1" s="5" t="s">
        <v>168</v>
      </c>
      <c r="K1" s="5" t="s">
        <v>58</v>
      </c>
      <c r="L1" s="5" t="s">
        <v>169</v>
      </c>
      <c r="M1" s="5" t="s">
        <v>39</v>
      </c>
      <c r="N1" s="5" t="s">
        <v>40</v>
      </c>
      <c r="O1" s="5" t="s">
        <v>41</v>
      </c>
      <c r="P1" s="5" t="s">
        <v>42</v>
      </c>
      <c r="Q1" s="5" t="s">
        <v>43</v>
      </c>
      <c r="R1" s="5" t="s">
        <v>44</v>
      </c>
      <c r="S1" s="5" t="s">
        <v>45</v>
      </c>
      <c r="T1" s="5" t="s">
        <v>46</v>
      </c>
      <c r="U1" s="5" t="s">
        <v>170</v>
      </c>
    </row>
    <row r="2" customFormat="false" ht="34.5" hidden="false" customHeight="true" outlineLevel="0" collapsed="false">
      <c r="A2" s="10" t="n">
        <v>1</v>
      </c>
      <c r="B2" s="10" t="s">
        <v>59</v>
      </c>
      <c r="C2" s="11" t="n">
        <v>2026</v>
      </c>
      <c r="D2" s="10" t="s">
        <v>171</v>
      </c>
      <c r="E2" s="10" t="s">
        <v>172</v>
      </c>
      <c r="F2" s="10" t="s">
        <v>173</v>
      </c>
      <c r="G2" s="10" t="s">
        <v>174</v>
      </c>
      <c r="H2" s="10" t="s">
        <v>175</v>
      </c>
      <c r="I2" s="10" t="s">
        <v>176</v>
      </c>
      <c r="J2" s="10" t="s">
        <v>177</v>
      </c>
      <c r="K2" s="10" t="s">
        <v>178</v>
      </c>
      <c r="L2" s="11" t="s">
        <v>179</v>
      </c>
      <c r="M2" s="13" t="n">
        <v>1</v>
      </c>
      <c r="N2" s="13" t="n">
        <v>1</v>
      </c>
      <c r="O2" s="13" t="n">
        <v>1</v>
      </c>
      <c r="P2" s="13" t="n">
        <v>1</v>
      </c>
      <c r="Q2" s="13" t="n">
        <v>1</v>
      </c>
      <c r="R2" s="13" t="n">
        <v>1</v>
      </c>
      <c r="S2" s="13" t="n">
        <v>1</v>
      </c>
      <c r="T2" s="13" t="n">
        <v>1</v>
      </c>
      <c r="U2" s="10" t="n">
        <f aca="false">SUM(M2:T2)</f>
        <v>8</v>
      </c>
    </row>
    <row r="3" customFormat="false" ht="23.25" hidden="false" customHeight="true" outlineLevel="0" collapsed="false">
      <c r="A3" s="10" t="n">
        <v>2</v>
      </c>
      <c r="B3" s="10" t="s">
        <v>64</v>
      </c>
      <c r="C3" s="11" t="n">
        <v>2025</v>
      </c>
      <c r="D3" s="10" t="s">
        <v>180</v>
      </c>
      <c r="E3" s="10" t="s">
        <v>181</v>
      </c>
      <c r="F3" s="10" t="s">
        <v>182</v>
      </c>
      <c r="G3" s="10" t="s">
        <v>174</v>
      </c>
      <c r="H3" s="10" t="s">
        <v>183</v>
      </c>
      <c r="I3" s="10" t="s">
        <v>184</v>
      </c>
      <c r="J3" s="10" t="s">
        <v>185</v>
      </c>
      <c r="K3" s="10" t="s">
        <v>186</v>
      </c>
      <c r="L3" s="11" t="s">
        <v>187</v>
      </c>
      <c r="M3" s="13" t="n">
        <v>0</v>
      </c>
      <c r="N3" s="13" t="n">
        <v>0</v>
      </c>
      <c r="O3" s="13" t="n">
        <v>0</v>
      </c>
      <c r="P3" s="13" t="n">
        <v>0</v>
      </c>
      <c r="Q3" s="13" t="n">
        <v>0</v>
      </c>
      <c r="R3" s="13" t="n">
        <v>0</v>
      </c>
      <c r="S3" s="13" t="n">
        <v>0</v>
      </c>
      <c r="T3" s="13" t="n">
        <v>0</v>
      </c>
      <c r="U3" s="10" t="n">
        <f aca="false">SUM(M3:T3)</f>
        <v>0</v>
      </c>
    </row>
    <row r="4" customFormat="false" ht="23.25" hidden="false" customHeight="true" outlineLevel="0" collapsed="false">
      <c r="A4" s="10" t="n">
        <v>3</v>
      </c>
      <c r="B4" s="10" t="s">
        <v>69</v>
      </c>
      <c r="C4" s="11" t="n">
        <v>2025</v>
      </c>
      <c r="D4" s="10" t="s">
        <v>188</v>
      </c>
      <c r="E4" s="10" t="s">
        <v>189</v>
      </c>
      <c r="F4" s="10" t="s">
        <v>182</v>
      </c>
      <c r="G4" s="10" t="s">
        <v>174</v>
      </c>
      <c r="H4" s="10" t="s">
        <v>190</v>
      </c>
      <c r="I4" s="10" t="s">
        <v>191</v>
      </c>
      <c r="J4" s="10" t="s">
        <v>192</v>
      </c>
      <c r="K4" s="10" t="s">
        <v>193</v>
      </c>
      <c r="L4" s="11" t="s">
        <v>194</v>
      </c>
      <c r="M4" s="13" t="n">
        <v>1</v>
      </c>
      <c r="N4" s="13" t="n">
        <v>1</v>
      </c>
      <c r="O4" s="13" t="n">
        <v>0</v>
      </c>
      <c r="P4" s="13" t="n">
        <v>0</v>
      </c>
      <c r="Q4" s="13" t="n">
        <v>0</v>
      </c>
      <c r="R4" s="13" t="n">
        <v>0</v>
      </c>
      <c r="S4" s="13" t="n">
        <v>0</v>
      </c>
      <c r="T4" s="13" t="n">
        <v>1</v>
      </c>
      <c r="U4" s="10" t="n">
        <f aca="false">SUM(M4:T4)</f>
        <v>3</v>
      </c>
    </row>
    <row r="5" customFormat="false" ht="23.25" hidden="false" customHeight="true" outlineLevel="0" collapsed="false">
      <c r="A5" s="10" t="n">
        <v>4</v>
      </c>
      <c r="B5" s="10" t="s">
        <v>74</v>
      </c>
      <c r="C5" s="11" t="n">
        <v>2025</v>
      </c>
      <c r="D5" s="10" t="s">
        <v>195</v>
      </c>
      <c r="E5" s="10" t="s">
        <v>196</v>
      </c>
      <c r="F5" s="10" t="s">
        <v>182</v>
      </c>
      <c r="G5" s="10" t="s">
        <v>197</v>
      </c>
      <c r="H5" s="10" t="s">
        <v>198</v>
      </c>
      <c r="I5" s="10" t="s">
        <v>199</v>
      </c>
      <c r="J5" s="10" t="s">
        <v>200</v>
      </c>
      <c r="K5" s="10" t="s">
        <v>201</v>
      </c>
      <c r="L5" s="11" t="s">
        <v>194</v>
      </c>
      <c r="M5" s="13" t="n">
        <v>1</v>
      </c>
      <c r="N5" s="13" t="n">
        <v>0</v>
      </c>
      <c r="O5" s="13" t="n">
        <v>0</v>
      </c>
      <c r="P5" s="13" t="n">
        <v>0</v>
      </c>
      <c r="Q5" s="13" t="n">
        <v>0</v>
      </c>
      <c r="R5" s="13" t="n">
        <v>1</v>
      </c>
      <c r="S5" s="13" t="n">
        <v>0</v>
      </c>
      <c r="T5" s="13" t="n">
        <v>0</v>
      </c>
      <c r="U5" s="10" t="n">
        <f aca="false">SUM(M5:T5)</f>
        <v>2</v>
      </c>
    </row>
    <row r="6" customFormat="false" ht="34.5" hidden="false" customHeight="true" outlineLevel="0" collapsed="false">
      <c r="A6" s="10" t="n">
        <v>5</v>
      </c>
      <c r="B6" s="10" t="s">
        <v>79</v>
      </c>
      <c r="C6" s="11" t="s">
        <v>80</v>
      </c>
      <c r="D6" s="10" t="s">
        <v>202</v>
      </c>
      <c r="E6" s="10" t="s">
        <v>203</v>
      </c>
      <c r="F6" s="10" t="s">
        <v>173</v>
      </c>
      <c r="G6" s="10" t="s">
        <v>204</v>
      </c>
      <c r="H6" s="10" t="s">
        <v>205</v>
      </c>
      <c r="I6" s="10" t="s">
        <v>206</v>
      </c>
      <c r="J6" s="10" t="s">
        <v>207</v>
      </c>
      <c r="K6" s="10" t="s">
        <v>208</v>
      </c>
      <c r="L6" s="11" t="s">
        <v>179</v>
      </c>
      <c r="M6" s="13" t="n">
        <v>1</v>
      </c>
      <c r="N6" s="13" t="n">
        <v>1</v>
      </c>
      <c r="O6" s="13" t="n">
        <v>1</v>
      </c>
      <c r="P6" s="13" t="n">
        <v>1</v>
      </c>
      <c r="Q6" s="13" t="n">
        <v>1</v>
      </c>
      <c r="R6" s="13" t="n">
        <v>1</v>
      </c>
      <c r="S6" s="13" t="n">
        <v>1</v>
      </c>
      <c r="T6" s="13" t="n">
        <v>1</v>
      </c>
      <c r="U6" s="10" t="n">
        <f aca="false">SUM(M6:T6)</f>
        <v>8</v>
      </c>
    </row>
    <row r="7" customFormat="false" ht="23.25" hidden="false" customHeight="true" outlineLevel="0" collapsed="false">
      <c r="A7" s="10" t="n">
        <v>6</v>
      </c>
      <c r="B7" s="10" t="s">
        <v>85</v>
      </c>
      <c r="C7" s="11" t="n">
        <v>2026</v>
      </c>
      <c r="D7" s="10" t="s">
        <v>209</v>
      </c>
      <c r="E7" s="10" t="s">
        <v>210</v>
      </c>
      <c r="F7" s="10" t="s">
        <v>182</v>
      </c>
      <c r="G7" s="10" t="s">
        <v>174</v>
      </c>
      <c r="H7" s="10" t="s">
        <v>211</v>
      </c>
      <c r="I7" s="10" t="s">
        <v>212</v>
      </c>
      <c r="J7" s="10" t="s">
        <v>213</v>
      </c>
      <c r="K7" s="10" t="s">
        <v>214</v>
      </c>
      <c r="L7" s="11" t="s">
        <v>194</v>
      </c>
      <c r="M7" s="13" t="n">
        <v>1</v>
      </c>
      <c r="N7" s="13" t="n">
        <v>1</v>
      </c>
      <c r="O7" s="13" t="n">
        <v>1</v>
      </c>
      <c r="P7" s="13" t="n">
        <v>0</v>
      </c>
      <c r="Q7" s="13" t="n">
        <v>0</v>
      </c>
      <c r="R7" s="13" t="n">
        <v>0</v>
      </c>
      <c r="S7" s="13" t="n">
        <v>1</v>
      </c>
      <c r="T7" s="13" t="n">
        <v>1</v>
      </c>
      <c r="U7" s="10" t="n">
        <f aca="false">SUM(M7:T7)</f>
        <v>5</v>
      </c>
    </row>
    <row r="8" customFormat="false" ht="23.25" hidden="false" customHeight="true" outlineLevel="0" collapsed="false">
      <c r="A8" s="10" t="n">
        <v>7</v>
      </c>
      <c r="B8" s="10" t="s">
        <v>90</v>
      </c>
      <c r="C8" s="11" t="n">
        <v>2024</v>
      </c>
      <c r="D8" s="10" t="s">
        <v>215</v>
      </c>
      <c r="E8" s="10" t="s">
        <v>216</v>
      </c>
      <c r="F8" s="10" t="s">
        <v>182</v>
      </c>
      <c r="G8" s="10" t="s">
        <v>174</v>
      </c>
      <c r="H8" s="10" t="s">
        <v>198</v>
      </c>
      <c r="I8" s="10" t="s">
        <v>217</v>
      </c>
      <c r="J8" s="10" t="s">
        <v>218</v>
      </c>
      <c r="K8" s="10" t="s">
        <v>219</v>
      </c>
      <c r="L8" s="11" t="s">
        <v>194</v>
      </c>
      <c r="M8" s="13" t="n">
        <v>1</v>
      </c>
      <c r="N8" s="13" t="n">
        <v>0</v>
      </c>
      <c r="O8" s="13" t="n">
        <v>1</v>
      </c>
      <c r="P8" s="13" t="n">
        <v>0</v>
      </c>
      <c r="Q8" s="13" t="n">
        <v>0</v>
      </c>
      <c r="R8" s="13" t="n">
        <v>1</v>
      </c>
      <c r="S8" s="13" t="n">
        <v>1</v>
      </c>
      <c r="T8" s="13" t="n">
        <v>0</v>
      </c>
      <c r="U8" s="10" t="n">
        <f aca="false">SUM(M8:T8)</f>
        <v>4</v>
      </c>
    </row>
    <row r="9" customFormat="false" ht="23.25" hidden="false" customHeight="true" outlineLevel="0" collapsed="false">
      <c r="A9" s="10" t="n">
        <v>8</v>
      </c>
      <c r="B9" s="10" t="s">
        <v>95</v>
      </c>
      <c r="C9" s="11" t="n">
        <v>2026</v>
      </c>
      <c r="D9" s="10" t="s">
        <v>220</v>
      </c>
      <c r="E9" s="10" t="s">
        <v>221</v>
      </c>
      <c r="F9" s="10" t="s">
        <v>222</v>
      </c>
      <c r="G9" s="10" t="s">
        <v>174</v>
      </c>
      <c r="H9" s="10" t="s">
        <v>223</v>
      </c>
      <c r="I9" s="10" t="s">
        <v>224</v>
      </c>
      <c r="J9" s="10" t="s">
        <v>225</v>
      </c>
      <c r="K9" s="10" t="s">
        <v>226</v>
      </c>
      <c r="L9" s="11" t="s">
        <v>179</v>
      </c>
      <c r="M9" s="13" t="n">
        <v>0</v>
      </c>
      <c r="N9" s="13" t="n">
        <v>1</v>
      </c>
      <c r="O9" s="13" t="n">
        <v>0</v>
      </c>
      <c r="P9" s="13" t="n">
        <v>0</v>
      </c>
      <c r="Q9" s="13" t="n">
        <v>1</v>
      </c>
      <c r="R9" s="13" t="n">
        <v>0</v>
      </c>
      <c r="S9" s="13" t="n">
        <v>0</v>
      </c>
      <c r="T9" s="13" t="n">
        <v>1</v>
      </c>
      <c r="U9" s="10" t="n">
        <f aca="false">SUM(M9:T9)</f>
        <v>3</v>
      </c>
    </row>
    <row r="10" customFormat="false" ht="23.25" hidden="false" customHeight="true" outlineLevel="0" collapsed="false">
      <c r="A10" s="10" t="n">
        <v>9</v>
      </c>
      <c r="B10" s="10" t="s">
        <v>100</v>
      </c>
      <c r="C10" s="11" t="n">
        <v>2025</v>
      </c>
      <c r="D10" s="10" t="s">
        <v>227</v>
      </c>
      <c r="E10" s="10" t="s">
        <v>228</v>
      </c>
      <c r="F10" s="10" t="s">
        <v>182</v>
      </c>
      <c r="G10" s="10" t="s">
        <v>174</v>
      </c>
      <c r="H10" s="10" t="s">
        <v>198</v>
      </c>
      <c r="I10" s="10" t="s">
        <v>229</v>
      </c>
      <c r="J10" s="10" t="s">
        <v>230</v>
      </c>
      <c r="K10" s="10" t="s">
        <v>231</v>
      </c>
      <c r="L10" s="11" t="s">
        <v>194</v>
      </c>
      <c r="M10" s="13" t="n">
        <v>1</v>
      </c>
      <c r="N10" s="13" t="n">
        <v>1</v>
      </c>
      <c r="O10" s="13" t="n">
        <v>0</v>
      </c>
      <c r="P10" s="13" t="n">
        <v>0</v>
      </c>
      <c r="Q10" s="13" t="n">
        <v>0</v>
      </c>
      <c r="R10" s="13" t="n">
        <v>0</v>
      </c>
      <c r="S10" s="13" t="n">
        <v>0</v>
      </c>
      <c r="T10" s="13" t="n">
        <v>0</v>
      </c>
      <c r="U10" s="10" t="n">
        <f aca="false">SUM(M10:T10)</f>
        <v>2</v>
      </c>
    </row>
    <row r="11" customFormat="false" ht="23.25" hidden="false" customHeight="true" outlineLevel="0" collapsed="false">
      <c r="A11" s="10" t="n">
        <v>10</v>
      </c>
      <c r="B11" s="10" t="s">
        <v>105</v>
      </c>
      <c r="C11" s="11" t="n">
        <v>2025</v>
      </c>
      <c r="D11" s="10" t="s">
        <v>232</v>
      </c>
      <c r="E11" s="10" t="s">
        <v>233</v>
      </c>
      <c r="F11" s="10" t="s">
        <v>173</v>
      </c>
      <c r="G11" s="10" t="s">
        <v>174</v>
      </c>
      <c r="H11" s="10" t="s">
        <v>234</v>
      </c>
      <c r="I11" s="10" t="s">
        <v>235</v>
      </c>
      <c r="J11" s="10" t="s">
        <v>236</v>
      </c>
      <c r="K11" s="10" t="s">
        <v>237</v>
      </c>
      <c r="L11" s="11" t="s">
        <v>187</v>
      </c>
      <c r="M11" s="13" t="n">
        <v>1</v>
      </c>
      <c r="N11" s="13" t="n">
        <v>0</v>
      </c>
      <c r="O11" s="13" t="n">
        <v>0</v>
      </c>
      <c r="P11" s="13" t="n">
        <v>0</v>
      </c>
      <c r="Q11" s="13" t="n">
        <v>0</v>
      </c>
      <c r="R11" s="13" t="n">
        <v>0</v>
      </c>
      <c r="S11" s="13" t="n">
        <v>0</v>
      </c>
      <c r="T11" s="13" t="n">
        <v>1</v>
      </c>
      <c r="U11" s="10" t="n">
        <f aca="false">SUM(M11:T11)</f>
        <v>2</v>
      </c>
    </row>
    <row r="12" customFormat="false" ht="23.25" hidden="false" customHeight="true" outlineLevel="0" collapsed="false">
      <c r="A12" s="10" t="n">
        <v>11</v>
      </c>
      <c r="B12" s="10" t="s">
        <v>110</v>
      </c>
      <c r="C12" s="11" t="n">
        <v>2024</v>
      </c>
      <c r="D12" s="10" t="s">
        <v>238</v>
      </c>
      <c r="E12" s="10" t="s">
        <v>239</v>
      </c>
      <c r="F12" s="10" t="s">
        <v>182</v>
      </c>
      <c r="G12" s="10" t="s">
        <v>174</v>
      </c>
      <c r="H12" s="10" t="s">
        <v>240</v>
      </c>
      <c r="I12" s="10" t="s">
        <v>241</v>
      </c>
      <c r="J12" s="10" t="s">
        <v>242</v>
      </c>
      <c r="K12" s="10" t="s">
        <v>243</v>
      </c>
      <c r="L12" s="11" t="s">
        <v>194</v>
      </c>
      <c r="M12" s="13" t="n">
        <v>1</v>
      </c>
      <c r="N12" s="13" t="n">
        <v>1</v>
      </c>
      <c r="O12" s="13" t="n">
        <v>0</v>
      </c>
      <c r="P12" s="13" t="n">
        <v>0</v>
      </c>
      <c r="Q12" s="13" t="n">
        <v>0</v>
      </c>
      <c r="R12" s="13" t="n">
        <v>0</v>
      </c>
      <c r="S12" s="13" t="n">
        <v>0</v>
      </c>
      <c r="T12" s="13" t="n">
        <v>1</v>
      </c>
      <c r="U12" s="10" t="n">
        <f aca="false">SUM(M12:T12)</f>
        <v>3</v>
      </c>
    </row>
    <row r="13" customFormat="false" ht="23.25" hidden="false" customHeight="true" outlineLevel="0" collapsed="false">
      <c r="A13" s="10" t="n">
        <v>12</v>
      </c>
      <c r="B13" s="10" t="s">
        <v>115</v>
      </c>
      <c r="C13" s="11" t="n">
        <v>2025</v>
      </c>
      <c r="D13" s="10" t="s">
        <v>244</v>
      </c>
      <c r="E13" s="10" t="s">
        <v>245</v>
      </c>
      <c r="F13" s="10" t="s">
        <v>182</v>
      </c>
      <c r="G13" s="10" t="s">
        <v>246</v>
      </c>
      <c r="H13" s="10" t="s">
        <v>198</v>
      </c>
      <c r="I13" s="10" t="s">
        <v>247</v>
      </c>
      <c r="J13" s="10" t="s">
        <v>248</v>
      </c>
      <c r="K13" s="10" t="s">
        <v>249</v>
      </c>
      <c r="L13" s="11" t="s">
        <v>194</v>
      </c>
      <c r="M13" s="13" t="n">
        <v>1</v>
      </c>
      <c r="N13" s="13" t="n">
        <v>0</v>
      </c>
      <c r="O13" s="13" t="n">
        <v>0</v>
      </c>
      <c r="P13" s="13" t="n">
        <v>0</v>
      </c>
      <c r="Q13" s="13" t="n">
        <v>0</v>
      </c>
      <c r="R13" s="13" t="n">
        <v>0</v>
      </c>
      <c r="S13" s="13" t="n">
        <v>0</v>
      </c>
      <c r="T13" s="13" t="n">
        <v>0</v>
      </c>
      <c r="U13" s="10" t="n">
        <f aca="false">SUM(M13:T13)</f>
        <v>1</v>
      </c>
    </row>
    <row r="14" customFormat="false" ht="23.25" hidden="false" customHeight="true" outlineLevel="0" collapsed="false">
      <c r="A14" s="10" t="n">
        <v>13</v>
      </c>
      <c r="B14" s="10" t="s">
        <v>120</v>
      </c>
      <c r="C14" s="11" t="n">
        <v>2026</v>
      </c>
      <c r="D14" s="10" t="s">
        <v>250</v>
      </c>
      <c r="E14" s="10" t="s">
        <v>251</v>
      </c>
      <c r="F14" s="10" t="s">
        <v>222</v>
      </c>
      <c r="G14" s="10" t="s">
        <v>174</v>
      </c>
      <c r="H14" s="10" t="s">
        <v>252</v>
      </c>
      <c r="I14" s="10" t="s">
        <v>253</v>
      </c>
      <c r="J14" s="10" t="s">
        <v>254</v>
      </c>
      <c r="K14" s="10" t="s">
        <v>255</v>
      </c>
      <c r="L14" s="11" t="s">
        <v>179</v>
      </c>
      <c r="M14" s="13" t="n">
        <v>1</v>
      </c>
      <c r="N14" s="13" t="n">
        <v>1</v>
      </c>
      <c r="O14" s="13" t="n">
        <v>1</v>
      </c>
      <c r="P14" s="13" t="n">
        <v>0</v>
      </c>
      <c r="Q14" s="13" t="n">
        <v>1</v>
      </c>
      <c r="R14" s="13" t="n">
        <v>1</v>
      </c>
      <c r="S14" s="13" t="n">
        <v>0</v>
      </c>
      <c r="T14" s="13" t="n">
        <v>1</v>
      </c>
      <c r="U14" s="10" t="n">
        <f aca="false">SUM(M14:T14)</f>
        <v>6</v>
      </c>
    </row>
    <row r="15" customFormat="false" ht="23.25" hidden="false" customHeight="true" outlineLevel="0" collapsed="false">
      <c r="A15" s="10" t="n">
        <v>14</v>
      </c>
      <c r="B15" s="10" t="s">
        <v>125</v>
      </c>
      <c r="C15" s="11" t="n">
        <v>2026</v>
      </c>
      <c r="D15" s="10" t="s">
        <v>256</v>
      </c>
      <c r="E15" s="10" t="s">
        <v>257</v>
      </c>
      <c r="F15" s="10" t="s">
        <v>258</v>
      </c>
      <c r="G15" s="10" t="s">
        <v>174</v>
      </c>
      <c r="H15" s="10" t="s">
        <v>259</v>
      </c>
      <c r="I15" s="10" t="s">
        <v>260</v>
      </c>
      <c r="J15" s="10" t="s">
        <v>261</v>
      </c>
      <c r="K15" s="10" t="s">
        <v>237</v>
      </c>
      <c r="L15" s="11" t="s">
        <v>179</v>
      </c>
      <c r="M15" s="13" t="n">
        <v>0</v>
      </c>
      <c r="N15" s="13" t="n">
        <v>0</v>
      </c>
      <c r="O15" s="13" t="n">
        <v>0</v>
      </c>
      <c r="P15" s="13" t="n">
        <v>1</v>
      </c>
      <c r="Q15" s="13" t="n">
        <v>1</v>
      </c>
      <c r="R15" s="13" t="n">
        <v>0</v>
      </c>
      <c r="S15" s="13" t="n">
        <v>0</v>
      </c>
      <c r="T15" s="13" t="n">
        <v>0</v>
      </c>
      <c r="U15" s="10" t="n">
        <f aca="false">SUM(M15:T15)</f>
        <v>2</v>
      </c>
    </row>
    <row r="16" customFormat="false" ht="23.25" hidden="false" customHeight="true" outlineLevel="0" collapsed="false">
      <c r="A16" s="10" t="n">
        <v>15</v>
      </c>
      <c r="B16" s="10" t="s">
        <v>130</v>
      </c>
      <c r="C16" s="11" t="n">
        <v>2025</v>
      </c>
      <c r="D16" s="10" t="s">
        <v>262</v>
      </c>
      <c r="E16" s="10" t="s">
        <v>263</v>
      </c>
      <c r="F16" s="10" t="s">
        <v>264</v>
      </c>
      <c r="G16" s="10" t="s">
        <v>174</v>
      </c>
      <c r="H16" s="10" t="s">
        <v>265</v>
      </c>
      <c r="I16" s="10" t="s">
        <v>266</v>
      </c>
      <c r="J16" s="10" t="s">
        <v>267</v>
      </c>
      <c r="K16" s="10" t="s">
        <v>268</v>
      </c>
      <c r="L16" s="11" t="s">
        <v>269</v>
      </c>
      <c r="M16" s="13" t="n">
        <v>1</v>
      </c>
      <c r="N16" s="13" t="n">
        <v>1</v>
      </c>
      <c r="O16" s="13" t="n">
        <v>0</v>
      </c>
      <c r="P16" s="13" t="n">
        <v>0</v>
      </c>
      <c r="Q16" s="13" t="n">
        <v>0</v>
      </c>
      <c r="R16" s="13" t="n">
        <v>1</v>
      </c>
      <c r="S16" s="13" t="n">
        <v>0</v>
      </c>
      <c r="T16" s="13" t="n">
        <v>1</v>
      </c>
      <c r="U16" s="10" t="n">
        <f aca="false">SUM(M16:T16)</f>
        <v>4</v>
      </c>
    </row>
    <row r="17" customFormat="false" ht="23.25" hidden="false" customHeight="true" outlineLevel="0" collapsed="false">
      <c r="A17" s="10" t="n">
        <v>16</v>
      </c>
      <c r="B17" s="10" t="s">
        <v>135</v>
      </c>
      <c r="C17" s="11" t="n">
        <v>2026</v>
      </c>
      <c r="D17" s="10" t="s">
        <v>270</v>
      </c>
      <c r="E17" s="10" t="s">
        <v>271</v>
      </c>
      <c r="F17" s="10" t="s">
        <v>182</v>
      </c>
      <c r="G17" s="10" t="s">
        <v>174</v>
      </c>
      <c r="H17" s="10" t="s">
        <v>198</v>
      </c>
      <c r="I17" s="10" t="s">
        <v>272</v>
      </c>
      <c r="J17" s="10" t="s">
        <v>273</v>
      </c>
      <c r="K17" s="10" t="s">
        <v>274</v>
      </c>
      <c r="L17" s="11" t="s">
        <v>194</v>
      </c>
      <c r="M17" s="13" t="n">
        <v>1</v>
      </c>
      <c r="N17" s="13" t="n">
        <v>0</v>
      </c>
      <c r="O17" s="13" t="n">
        <v>0</v>
      </c>
      <c r="P17" s="13" t="n">
        <v>0</v>
      </c>
      <c r="Q17" s="13" t="n">
        <v>0</v>
      </c>
      <c r="R17" s="13" t="n">
        <v>1</v>
      </c>
      <c r="S17" s="13" t="n">
        <v>1</v>
      </c>
      <c r="T17" s="13" t="n">
        <v>0</v>
      </c>
      <c r="U17" s="10" t="n">
        <f aca="false">SUM(M17:T17)</f>
        <v>3</v>
      </c>
    </row>
    <row r="18" customFormat="false" ht="23.25" hidden="false" customHeight="true" outlineLevel="0" collapsed="false">
      <c r="A18" s="10" t="n">
        <v>17</v>
      </c>
      <c r="B18" s="10" t="s">
        <v>140</v>
      </c>
      <c r="C18" s="11" t="n">
        <v>2026</v>
      </c>
      <c r="D18" s="10" t="s">
        <v>275</v>
      </c>
      <c r="E18" s="10" t="s">
        <v>271</v>
      </c>
      <c r="F18" s="10" t="s">
        <v>182</v>
      </c>
      <c r="G18" s="10" t="s">
        <v>174</v>
      </c>
      <c r="H18" s="10" t="s">
        <v>276</v>
      </c>
      <c r="I18" s="10" t="s">
        <v>277</v>
      </c>
      <c r="J18" s="10" t="s">
        <v>278</v>
      </c>
      <c r="K18" s="10" t="s">
        <v>279</v>
      </c>
      <c r="L18" s="11" t="s">
        <v>194</v>
      </c>
      <c r="M18" s="13" t="n">
        <v>1</v>
      </c>
      <c r="N18" s="13" t="n">
        <v>0</v>
      </c>
      <c r="O18" s="13" t="n">
        <v>0</v>
      </c>
      <c r="P18" s="13" t="n">
        <v>0</v>
      </c>
      <c r="Q18" s="13" t="n">
        <v>0</v>
      </c>
      <c r="R18" s="13" t="n">
        <v>1</v>
      </c>
      <c r="S18" s="13" t="n">
        <v>1</v>
      </c>
      <c r="T18" s="13" t="n">
        <v>1</v>
      </c>
      <c r="U18" s="10" t="n">
        <f aca="false">SUM(M18:T18)</f>
        <v>4</v>
      </c>
    </row>
    <row r="19" customFormat="false" ht="23.25" hidden="false" customHeight="true" outlineLevel="0" collapsed="false">
      <c r="A19" s="10" t="n">
        <v>18</v>
      </c>
      <c r="B19" s="10" t="s">
        <v>145</v>
      </c>
      <c r="C19" s="11" t="n">
        <v>2025</v>
      </c>
      <c r="D19" s="10" t="s">
        <v>280</v>
      </c>
      <c r="E19" s="10" t="s">
        <v>281</v>
      </c>
      <c r="F19" s="10" t="s">
        <v>222</v>
      </c>
      <c r="G19" s="10" t="s">
        <v>174</v>
      </c>
      <c r="H19" s="10" t="s">
        <v>282</v>
      </c>
      <c r="I19" s="10" t="s">
        <v>283</v>
      </c>
      <c r="J19" s="10" t="s">
        <v>284</v>
      </c>
      <c r="K19" s="10" t="s">
        <v>237</v>
      </c>
      <c r="L19" s="11" t="s">
        <v>187</v>
      </c>
      <c r="M19" s="13" t="n">
        <v>1</v>
      </c>
      <c r="N19" s="13" t="n">
        <v>1</v>
      </c>
      <c r="O19" s="13" t="n">
        <v>0</v>
      </c>
      <c r="P19" s="13" t="n">
        <v>1</v>
      </c>
      <c r="Q19" s="13" t="n">
        <v>0</v>
      </c>
      <c r="R19" s="13" t="n">
        <v>0</v>
      </c>
      <c r="S19" s="13" t="n">
        <v>1</v>
      </c>
      <c r="T19" s="13" t="n">
        <v>1</v>
      </c>
      <c r="U19" s="10" t="n">
        <f aca="false">SUM(M19:T19)</f>
        <v>5</v>
      </c>
    </row>
    <row r="20" customFormat="false" ht="23.25" hidden="false" customHeight="true" outlineLevel="0" collapsed="false">
      <c r="A20" s="10" t="n">
        <v>19</v>
      </c>
      <c r="B20" s="10" t="s">
        <v>150</v>
      </c>
      <c r="C20" s="11" t="n">
        <v>2025</v>
      </c>
      <c r="D20" s="10" t="s">
        <v>285</v>
      </c>
      <c r="E20" s="10" t="s">
        <v>286</v>
      </c>
      <c r="F20" s="10" t="s">
        <v>258</v>
      </c>
      <c r="G20" s="10" t="s">
        <v>174</v>
      </c>
      <c r="H20" s="10" t="s">
        <v>287</v>
      </c>
      <c r="I20" s="10" t="s">
        <v>288</v>
      </c>
      <c r="J20" s="10" t="s">
        <v>289</v>
      </c>
      <c r="K20" s="10" t="s">
        <v>290</v>
      </c>
      <c r="L20" s="11" t="s">
        <v>187</v>
      </c>
      <c r="M20" s="13" t="n">
        <v>1</v>
      </c>
      <c r="N20" s="13" t="n">
        <v>1</v>
      </c>
      <c r="O20" s="13" t="n">
        <v>0</v>
      </c>
      <c r="P20" s="13" t="n">
        <v>0</v>
      </c>
      <c r="Q20" s="13" t="n">
        <v>0</v>
      </c>
      <c r="R20" s="13" t="n">
        <v>1</v>
      </c>
      <c r="S20" s="13" t="n">
        <v>0</v>
      </c>
      <c r="T20" s="13" t="n">
        <v>1</v>
      </c>
      <c r="U20" s="10" t="n">
        <f aca="false">SUM(M20:T20)</f>
        <v>4</v>
      </c>
    </row>
    <row r="21" customFormat="false" ht="23.25" hidden="false" customHeight="true" outlineLevel="0" collapsed="false">
      <c r="A21" s="10" t="n">
        <v>20</v>
      </c>
      <c r="B21" s="10" t="s">
        <v>155</v>
      </c>
      <c r="C21" s="11" t="n">
        <v>2026</v>
      </c>
      <c r="D21" s="10" t="s">
        <v>291</v>
      </c>
      <c r="E21" s="10" t="s">
        <v>292</v>
      </c>
      <c r="F21" s="10" t="s">
        <v>182</v>
      </c>
      <c r="G21" s="10" t="s">
        <v>293</v>
      </c>
      <c r="H21" s="10" t="s">
        <v>294</v>
      </c>
      <c r="I21" s="10" t="s">
        <v>295</v>
      </c>
      <c r="J21" s="10" t="s">
        <v>296</v>
      </c>
      <c r="K21" s="10" t="s">
        <v>297</v>
      </c>
      <c r="L21" s="11" t="s">
        <v>194</v>
      </c>
      <c r="M21" s="13" t="n">
        <v>1</v>
      </c>
      <c r="N21" s="13" t="n">
        <v>1</v>
      </c>
      <c r="O21" s="13" t="n">
        <v>0</v>
      </c>
      <c r="P21" s="13" t="n">
        <v>1</v>
      </c>
      <c r="Q21" s="13" t="n">
        <v>0</v>
      </c>
      <c r="R21" s="13" t="n">
        <v>1</v>
      </c>
      <c r="S21" s="13" t="n">
        <v>0</v>
      </c>
      <c r="T21" s="13" t="n">
        <v>1</v>
      </c>
      <c r="U21" s="10" t="n">
        <f aca="false">SUM(M21:T21)</f>
        <v>5</v>
      </c>
    </row>
  </sheetData>
  <autoFilter ref="A1:U2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20"/>
    <col collapsed="false" customWidth="true" hidden="false" outlineLevel="0" max="3" min="3" style="1" width="16"/>
    <col collapsed="false" customWidth="true" hidden="false" outlineLevel="0" max="4" min="4" style="1" width="24"/>
    <col collapsed="false" customWidth="true" hidden="false" outlineLevel="0" max="5" min="5" style="1" width="30"/>
    <col collapsed="false" customWidth="true" hidden="false" outlineLevel="0" max="6" min="6" style="1" width="42"/>
    <col collapsed="false" customWidth="true" hidden="false" outlineLevel="0" max="7" min="7" style="1" width="60"/>
  </cols>
  <sheetData>
    <row r="1" customFormat="false" ht="23.25" hidden="false" customHeight="true" outlineLevel="0" collapsed="false">
      <c r="A1" s="5" t="s">
        <v>54</v>
      </c>
      <c r="B1" s="5" t="s">
        <v>298</v>
      </c>
      <c r="C1" s="5" t="s">
        <v>299</v>
      </c>
      <c r="D1" s="5" t="s">
        <v>300</v>
      </c>
      <c r="E1" s="5" t="s">
        <v>301</v>
      </c>
      <c r="F1" s="5" t="s">
        <v>302</v>
      </c>
      <c r="G1" s="5" t="s">
        <v>303</v>
      </c>
    </row>
    <row r="2" customFormat="false" ht="15" hidden="false" customHeight="true" outlineLevel="0" collapsed="false">
      <c r="A2" s="10" t="s">
        <v>304</v>
      </c>
      <c r="B2" s="10" t="s">
        <v>305</v>
      </c>
      <c r="C2" s="11" t="s">
        <v>306</v>
      </c>
      <c r="D2" s="10" t="s">
        <v>306</v>
      </c>
      <c r="E2" s="10" t="s">
        <v>307</v>
      </c>
      <c r="F2" s="10" t="s">
        <v>308</v>
      </c>
      <c r="G2" s="10" t="s">
        <v>309</v>
      </c>
    </row>
    <row r="3" customFormat="false" ht="23.25" hidden="false" customHeight="true" outlineLevel="0" collapsed="false">
      <c r="A3" s="10" t="s">
        <v>310</v>
      </c>
      <c r="B3" s="10" t="s">
        <v>203</v>
      </c>
      <c r="C3" s="11" t="s">
        <v>311</v>
      </c>
      <c r="D3" s="10" t="s">
        <v>311</v>
      </c>
      <c r="E3" s="10" t="s">
        <v>312</v>
      </c>
      <c r="F3" s="10" t="s">
        <v>313</v>
      </c>
      <c r="G3" s="10" t="s">
        <v>314</v>
      </c>
    </row>
    <row r="4" customFormat="false" ht="23.25" hidden="false" customHeight="true" outlineLevel="0" collapsed="false">
      <c r="A4" s="10" t="s">
        <v>315</v>
      </c>
      <c r="B4" s="10" t="s">
        <v>316</v>
      </c>
      <c r="C4" s="11" t="n">
        <v>5890</v>
      </c>
      <c r="D4" s="10" t="s">
        <v>317</v>
      </c>
      <c r="E4" s="10" t="s">
        <v>318</v>
      </c>
      <c r="F4" s="10" t="s">
        <v>319</v>
      </c>
      <c r="G4" s="10" t="s">
        <v>320</v>
      </c>
    </row>
    <row r="5" customFormat="false" ht="15" hidden="false" customHeight="true" outlineLevel="0" collapsed="false">
      <c r="A5" s="10" t="s">
        <v>321</v>
      </c>
      <c r="B5" s="10" t="s">
        <v>269</v>
      </c>
      <c r="C5" s="11" t="s">
        <v>269</v>
      </c>
      <c r="D5" s="10" t="s">
        <v>269</v>
      </c>
      <c r="E5" s="10" t="s">
        <v>322</v>
      </c>
      <c r="F5" s="10" t="s">
        <v>323</v>
      </c>
      <c r="G5" s="10" t="s">
        <v>324</v>
      </c>
    </row>
    <row r="6" customFormat="false" ht="15" hidden="false" customHeight="true" outlineLevel="0" collapsed="false">
      <c r="A6" s="10" t="s">
        <v>325</v>
      </c>
      <c r="B6" s="10" t="s">
        <v>326</v>
      </c>
      <c r="C6" s="11" t="n">
        <v>22558</v>
      </c>
      <c r="D6" s="10" t="n">
        <v>125</v>
      </c>
      <c r="E6" s="10" t="s">
        <v>327</v>
      </c>
      <c r="F6" s="10" t="s">
        <v>328</v>
      </c>
      <c r="G6" s="10" t="s">
        <v>329</v>
      </c>
    </row>
    <row r="7" customFormat="false" ht="15" hidden="false" customHeight="true" outlineLevel="0" collapsed="false">
      <c r="A7" s="10" t="s">
        <v>330</v>
      </c>
      <c r="B7" s="10" t="s">
        <v>269</v>
      </c>
      <c r="C7" s="11" t="s">
        <v>269</v>
      </c>
      <c r="D7" s="10" t="s">
        <v>269</v>
      </c>
      <c r="E7" s="10" t="s">
        <v>258</v>
      </c>
      <c r="F7" s="10" t="s">
        <v>331</v>
      </c>
      <c r="G7" s="10" t="s">
        <v>332</v>
      </c>
    </row>
    <row r="8" customFormat="false" ht="23.25" hidden="false" customHeight="true" outlineLevel="0" collapsed="false">
      <c r="A8" s="10" t="s">
        <v>333</v>
      </c>
      <c r="B8" s="10" t="s">
        <v>269</v>
      </c>
      <c r="C8" s="11" t="s">
        <v>269</v>
      </c>
      <c r="D8" s="10" t="s">
        <v>269</v>
      </c>
      <c r="E8" s="10" t="s">
        <v>334</v>
      </c>
      <c r="F8" s="10" t="s">
        <v>335</v>
      </c>
      <c r="G8" s="10" t="s">
        <v>336</v>
      </c>
    </row>
    <row r="9" customFormat="false" ht="15" hidden="false" customHeight="true" outlineLevel="0" collapsed="false">
      <c r="A9" s="10" t="s">
        <v>337</v>
      </c>
      <c r="B9" s="10" t="s">
        <v>269</v>
      </c>
      <c r="C9" s="11" t="s">
        <v>269</v>
      </c>
      <c r="D9" s="10" t="s">
        <v>269</v>
      </c>
      <c r="E9" s="10" t="s">
        <v>258</v>
      </c>
      <c r="F9" s="10" t="s">
        <v>338</v>
      </c>
      <c r="G9" s="10" t="s">
        <v>339</v>
      </c>
    </row>
    <row r="11" customFormat="false" ht="15" hidden="false" customHeight="true" outlineLevel="0" collapsed="false">
      <c r="A11" s="4" t="s">
        <v>340</v>
      </c>
    </row>
    <row r="12" customFormat="false" ht="15" hidden="false" customHeight="true" outlineLevel="0" collapsed="false">
      <c r="A12" s="5" t="s">
        <v>173</v>
      </c>
      <c r="B12" s="5" t="s">
        <v>341</v>
      </c>
      <c r="C12" s="5" t="s">
        <v>342</v>
      </c>
      <c r="D12" s="5" t="s">
        <v>343</v>
      </c>
    </row>
    <row r="13" customFormat="false" ht="15" hidden="false" customHeight="true" outlineLevel="0" collapsed="false">
      <c r="A13" s="6" t="s">
        <v>315</v>
      </c>
      <c r="B13" s="14" t="n">
        <f aca="false">C4</f>
        <v>5890</v>
      </c>
      <c r="C13" s="15" t="n">
        <v>216</v>
      </c>
      <c r="D13" s="16" t="n">
        <f aca="false">C13/B13</f>
        <v>0.0366723259762309</v>
      </c>
    </row>
    <row r="14" customFormat="false" ht="15" hidden="false" customHeight="true" outlineLevel="0" collapsed="false">
      <c r="A14" s="6" t="s">
        <v>325</v>
      </c>
      <c r="B14" s="14" t="n">
        <f aca="false">C6</f>
        <v>22558</v>
      </c>
      <c r="C14" s="6" t="n">
        <f aca="false">D6</f>
        <v>125</v>
      </c>
      <c r="D14" s="16" t="n">
        <f aca="false">C14/B14</f>
        <v>0.00554127138930756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6"/>
    <col collapsed="false" customWidth="true" hidden="false" outlineLevel="0" max="2" min="2" style="1" width="8"/>
    <col collapsed="false" customWidth="true" hidden="false" outlineLevel="0" max="3" min="3" style="1" width="70"/>
    <col collapsed="false" customWidth="true" hidden="false" outlineLevel="0" max="4" min="4" style="1" width="20"/>
    <col collapsed="false" customWidth="true" hidden="false" outlineLevel="0" max="5" min="5" style="1" width="16"/>
  </cols>
  <sheetData>
    <row r="1" customFormat="false" ht="23.25" hidden="false" customHeight="true" outlineLevel="0" collapsed="false">
      <c r="A1" s="5" t="s">
        <v>344</v>
      </c>
      <c r="B1" s="5" t="s">
        <v>48</v>
      </c>
      <c r="C1" s="5" t="s">
        <v>345</v>
      </c>
      <c r="D1" s="5" t="s">
        <v>346</v>
      </c>
      <c r="E1" s="5" t="s">
        <v>347</v>
      </c>
    </row>
    <row r="2" customFormat="false" ht="23.25" hidden="false" customHeight="true" outlineLevel="0" collapsed="false">
      <c r="A2" s="10" t="s">
        <v>198</v>
      </c>
      <c r="B2" s="17" t="n">
        <v>2023</v>
      </c>
      <c r="C2" s="10" t="s">
        <v>348</v>
      </c>
      <c r="D2" s="10" t="n">
        <f aca="false">COUNTIF(Studies!$H$2:$H$21,"*"&amp;E2&amp;"*")</f>
        <v>12</v>
      </c>
      <c r="E2" s="10" t="s">
        <v>198</v>
      </c>
    </row>
    <row r="3" customFormat="false" ht="15" hidden="false" customHeight="true" outlineLevel="0" collapsed="false">
      <c r="A3" s="10" t="s">
        <v>349</v>
      </c>
      <c r="B3" s="17" t="n">
        <v>1999</v>
      </c>
      <c r="C3" s="10" t="s">
        <v>350</v>
      </c>
      <c r="D3" s="10" t="n">
        <f aca="false">COUNTIF(Studies!$H$2:$H$21,"*"&amp;E3&amp;"*")</f>
        <v>2</v>
      </c>
      <c r="E3" s="10" t="s">
        <v>349</v>
      </c>
    </row>
    <row r="4" customFormat="false" ht="15" hidden="false" customHeight="true" outlineLevel="0" collapsed="false">
      <c r="A4" s="10" t="s">
        <v>351</v>
      </c>
      <c r="B4" s="17" t="n">
        <v>2009</v>
      </c>
      <c r="C4" s="10" t="s">
        <v>352</v>
      </c>
      <c r="D4" s="10" t="n">
        <f aca="false">COUNTIF(Studies!$H$2:$H$21,"*"&amp;E4&amp;"*")</f>
        <v>1</v>
      </c>
      <c r="E4" s="10" t="s">
        <v>351</v>
      </c>
    </row>
    <row r="5" customFormat="false" ht="15" hidden="false" customHeight="true" outlineLevel="0" collapsed="false">
      <c r="A5" s="10" t="s">
        <v>353</v>
      </c>
      <c r="B5" s="17" t="n">
        <v>2015</v>
      </c>
      <c r="C5" s="10" t="s">
        <v>354</v>
      </c>
      <c r="D5" s="10" t="n">
        <f aca="false">COUNTIF(Studies!$H$2:$H$21,"*"&amp;E5&amp;"*")</f>
        <v>2</v>
      </c>
      <c r="E5" s="10" t="s">
        <v>353</v>
      </c>
    </row>
    <row r="6" customFormat="false" ht="15" hidden="false" customHeight="true" outlineLevel="0" collapsed="false">
      <c r="A6" s="10" t="s">
        <v>355</v>
      </c>
      <c r="B6" s="17" t="n">
        <v>2020</v>
      </c>
      <c r="C6" s="10" t="s">
        <v>356</v>
      </c>
      <c r="D6" s="10" t="n">
        <f aca="false">COUNTIF(Studies!$H$2:$H$21,"*"&amp;E6&amp;"*")</f>
        <v>3</v>
      </c>
      <c r="E6" s="10" t="s">
        <v>355</v>
      </c>
    </row>
    <row r="7" customFormat="false" ht="15" hidden="false" customHeight="true" outlineLevel="0" collapsed="false">
      <c r="A7" s="10" t="s">
        <v>357</v>
      </c>
      <c r="B7" s="17" t="n">
        <v>2020</v>
      </c>
      <c r="C7" s="10" t="s">
        <v>358</v>
      </c>
      <c r="D7" s="10" t="n">
        <f aca="false">COUNTIF(Studies!$H$2:$H$21,"*"&amp;E7&amp;"*")</f>
        <v>1</v>
      </c>
      <c r="E7" s="10" t="s">
        <v>357</v>
      </c>
    </row>
    <row r="8" customFormat="false" ht="15" hidden="false" customHeight="true" outlineLevel="0" collapsed="false">
      <c r="A8" s="10" t="s">
        <v>359</v>
      </c>
      <c r="B8" s="17" t="n">
        <v>2018</v>
      </c>
      <c r="C8" s="10" t="s">
        <v>360</v>
      </c>
      <c r="D8" s="10" t="n">
        <f aca="false">COUNTIF(Studies!$H$2:$H$21,"*"&amp;E8&amp;"*")</f>
        <v>2</v>
      </c>
      <c r="E8" s="10" t="s">
        <v>359</v>
      </c>
    </row>
    <row r="9" customFormat="false" ht="15" hidden="false" customHeight="true" outlineLevel="0" collapsed="false">
      <c r="A9" s="10" t="s">
        <v>361</v>
      </c>
      <c r="B9" s="17" t="n">
        <v>2019</v>
      </c>
      <c r="C9" s="10" t="s">
        <v>362</v>
      </c>
      <c r="D9" s="10" t="n">
        <f aca="false">COUNTIF(Studies!$H$2:$H$21,"*"&amp;E9&amp;"*")</f>
        <v>2</v>
      </c>
      <c r="E9" s="10" t="s">
        <v>361</v>
      </c>
    </row>
    <row r="10" customFormat="false" ht="15" hidden="false" customHeight="true" outlineLevel="0" collapsed="false">
      <c r="A10" s="10" t="s">
        <v>363</v>
      </c>
      <c r="B10" s="17" t="n">
        <v>2018</v>
      </c>
      <c r="C10" s="10" t="s">
        <v>364</v>
      </c>
      <c r="D10" s="10" t="n">
        <f aca="false">COUNTIF(Studies!$H$2:$H$21,"*"&amp;E10&amp;"*")</f>
        <v>1</v>
      </c>
      <c r="E10" s="10" t="s">
        <v>363</v>
      </c>
    </row>
    <row r="11" customFormat="false" ht="15" hidden="false" customHeight="true" outlineLevel="0" collapsed="false">
      <c r="A11" s="10" t="s">
        <v>365</v>
      </c>
      <c r="B11" s="17" t="n">
        <v>2017</v>
      </c>
      <c r="C11" s="10" t="s">
        <v>366</v>
      </c>
      <c r="D11" s="10" t="n">
        <f aca="false">COUNTIF(Studies!$H$2:$H$21,"*"&amp;E11&amp;"*")</f>
        <v>1</v>
      </c>
      <c r="E11" s="10" t="s">
        <v>365</v>
      </c>
    </row>
    <row r="13" customFormat="false" ht="15" hidden="false" customHeight="true" outlineLevel="0" collapsed="false">
      <c r="A13" s="3" t="s">
        <v>367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52"/>
    <col collapsed="false" customWidth="true" hidden="false" outlineLevel="0" max="3" min="3" style="1" width="70"/>
    <col collapsed="false" customWidth="true" hidden="false" outlineLevel="0" max="4" min="4" style="1" width="20"/>
    <col collapsed="false" customWidth="true" hidden="false" outlineLevel="0" max="5" min="5" style="1" width="14"/>
  </cols>
  <sheetData>
    <row r="1" customFormat="false" ht="23.25" hidden="false" customHeight="true" outlineLevel="0" collapsed="false">
      <c r="A1" s="5" t="s">
        <v>368</v>
      </c>
      <c r="B1" s="5" t="s">
        <v>369</v>
      </c>
      <c r="C1" s="5" t="s">
        <v>370</v>
      </c>
      <c r="D1" s="5" t="s">
        <v>371</v>
      </c>
      <c r="E1" s="5" t="s">
        <v>372</v>
      </c>
    </row>
    <row r="2" customFormat="false" ht="15" hidden="false" customHeight="true" outlineLevel="0" collapsed="false">
      <c r="A2" s="10" t="n">
        <v>1</v>
      </c>
      <c r="B2" s="10" t="s">
        <v>373</v>
      </c>
      <c r="C2" s="10" t="s">
        <v>374</v>
      </c>
      <c r="D2" s="11" t="s">
        <v>375</v>
      </c>
      <c r="E2" s="10" t="n">
        <f aca="false">LEN(D2)-LEN(SUBSTITUTE(D2,",",""))+1</f>
        <v>3</v>
      </c>
    </row>
    <row r="3" customFormat="false" ht="15" hidden="false" customHeight="true" outlineLevel="0" collapsed="false">
      <c r="A3" s="10" t="n">
        <v>2</v>
      </c>
      <c r="B3" s="10" t="s">
        <v>376</v>
      </c>
      <c r="C3" s="10" t="s">
        <v>377</v>
      </c>
      <c r="D3" s="11" t="s">
        <v>378</v>
      </c>
      <c r="E3" s="10" t="n">
        <f aca="false">LEN(D3)-LEN(SUBSTITUTE(D3,",",""))+1</f>
        <v>3</v>
      </c>
    </row>
    <row r="4" customFormat="false" ht="15" hidden="false" customHeight="true" outlineLevel="0" collapsed="false">
      <c r="A4" s="10" t="n">
        <v>3</v>
      </c>
      <c r="B4" s="10" t="s">
        <v>379</v>
      </c>
      <c r="C4" s="10" t="s">
        <v>380</v>
      </c>
      <c r="D4" s="11" t="s">
        <v>381</v>
      </c>
      <c r="E4" s="10" t="n">
        <f aca="false">LEN(D4)-LEN(SUBSTITUTE(D4,",",""))+1</f>
        <v>4</v>
      </c>
    </row>
    <row r="5" customFormat="false" ht="15" hidden="false" customHeight="true" outlineLevel="0" collapsed="false">
      <c r="A5" s="10" t="n">
        <v>4</v>
      </c>
      <c r="B5" s="10" t="s">
        <v>382</v>
      </c>
      <c r="C5" s="10" t="s">
        <v>383</v>
      </c>
      <c r="D5" s="11" t="s">
        <v>384</v>
      </c>
      <c r="E5" s="10" t="n">
        <f aca="false">LEN(D5)-LEN(SUBSTITUTE(D5,",",""))+1</f>
        <v>3</v>
      </c>
    </row>
    <row r="6" customFormat="false" ht="15" hidden="false" customHeight="true" outlineLevel="0" collapsed="false">
      <c r="A6" s="10" t="n">
        <v>5</v>
      </c>
      <c r="B6" s="10" t="s">
        <v>385</v>
      </c>
      <c r="C6" s="10" t="s">
        <v>386</v>
      </c>
      <c r="D6" s="11" t="s">
        <v>387</v>
      </c>
      <c r="E6" s="10" t="n">
        <f aca="false">LEN(D6)-LEN(SUBSTITUTE(D6,",",""))+1</f>
        <v>5</v>
      </c>
    </row>
    <row r="7" customFormat="false" ht="15" hidden="false" customHeight="true" outlineLevel="0" collapsed="false">
      <c r="A7" s="10" t="n">
        <v>6</v>
      </c>
      <c r="B7" s="10" t="s">
        <v>388</v>
      </c>
      <c r="C7" s="10" t="s">
        <v>389</v>
      </c>
      <c r="D7" s="11" t="s">
        <v>390</v>
      </c>
      <c r="E7" s="10" t="n">
        <f aca="false">LEN(D7)-LEN(SUBSTITUTE(D7,",",""))+1</f>
        <v>4</v>
      </c>
    </row>
    <row r="8" customFormat="false" ht="15" hidden="false" customHeight="true" outlineLevel="0" collapsed="false">
      <c r="A8" s="10" t="n">
        <v>7</v>
      </c>
      <c r="B8" s="10" t="s">
        <v>391</v>
      </c>
      <c r="C8" s="10" t="s">
        <v>392</v>
      </c>
      <c r="D8" s="11" t="s">
        <v>393</v>
      </c>
      <c r="E8" s="10" t="n">
        <f aca="false">LEN(D8)-LEN(SUBSTITUTE(D8,",",""))+1</f>
        <v>4</v>
      </c>
    </row>
    <row r="9" customFormat="false" ht="23.25" hidden="false" customHeight="true" outlineLevel="0" collapsed="false">
      <c r="A9" s="10" t="n">
        <v>8</v>
      </c>
      <c r="B9" s="10" t="s">
        <v>394</v>
      </c>
      <c r="C9" s="10" t="s">
        <v>395</v>
      </c>
      <c r="D9" s="11" t="s">
        <v>396</v>
      </c>
      <c r="E9" s="10" t="n">
        <f aca="false">LEN(D9)-LEN(SUBSTITUTE(D9,",",""))+1</f>
        <v>4</v>
      </c>
    </row>
    <row r="10" customFormat="false" ht="15" hidden="false" customHeight="true" outlineLevel="0" collapsed="false">
      <c r="A10" s="10" t="n">
        <v>9</v>
      </c>
      <c r="B10" s="10" t="s">
        <v>397</v>
      </c>
      <c r="C10" s="10" t="s">
        <v>398</v>
      </c>
      <c r="D10" s="11" t="s">
        <v>399</v>
      </c>
      <c r="E10" s="10" t="n">
        <f aca="false">LEN(D10)-LEN(SUBSTITUTE(D10,",",""))+1</f>
        <v>2</v>
      </c>
    </row>
    <row r="11" customFormat="false" ht="15" hidden="false" customHeight="true" outlineLevel="0" collapsed="false">
      <c r="A11" s="10" t="n">
        <v>10</v>
      </c>
      <c r="B11" s="10" t="s">
        <v>400</v>
      </c>
      <c r="C11" s="10" t="s">
        <v>401</v>
      </c>
      <c r="D11" s="11" t="s">
        <v>402</v>
      </c>
      <c r="E11" s="10" t="n">
        <f aca="false">LEN(D11)-LEN(SUBSTITUTE(D11,",",""))+1</f>
        <v>1</v>
      </c>
    </row>
    <row r="12" customFormat="false" ht="15" hidden="false" customHeight="true" outlineLevel="0" collapsed="false">
      <c r="A12" s="10" t="n">
        <v>11</v>
      </c>
      <c r="B12" s="10" t="s">
        <v>403</v>
      </c>
      <c r="C12" s="10" t="s">
        <v>404</v>
      </c>
      <c r="D12" s="11" t="s">
        <v>405</v>
      </c>
      <c r="E12" s="10" t="n">
        <f aca="false">LEN(D12)-LEN(SUBSTITUTE(D12,",",""))+1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130"/>
    <col collapsed="false" customWidth="true" hidden="false" outlineLevel="0" max="3" min="3" style="1" width="34"/>
  </cols>
  <sheetData>
    <row r="1" customFormat="false" ht="15" hidden="false" customHeight="true" outlineLevel="0" collapsed="false">
      <c r="A1" s="5" t="s">
        <v>53</v>
      </c>
      <c r="B1" s="5" t="s">
        <v>406</v>
      </c>
      <c r="C1" s="5" t="s">
        <v>407</v>
      </c>
    </row>
    <row r="2" customFormat="false" ht="23.25" hidden="false" customHeight="true" outlineLevel="0" collapsed="false">
      <c r="A2" s="10" t="n">
        <v>1</v>
      </c>
      <c r="B2" s="10" t="s">
        <v>408</v>
      </c>
      <c r="C2" s="10" t="s">
        <v>409</v>
      </c>
    </row>
    <row r="3" customFormat="false" ht="23.25" hidden="false" customHeight="true" outlineLevel="0" collapsed="false">
      <c r="A3" s="10" t="n">
        <v>2</v>
      </c>
      <c r="B3" s="10" t="s">
        <v>410</v>
      </c>
      <c r="C3" s="10" t="s">
        <v>411</v>
      </c>
    </row>
    <row r="4" customFormat="false" ht="23.25" hidden="false" customHeight="true" outlineLevel="0" collapsed="false">
      <c r="A4" s="10" t="n">
        <v>3</v>
      </c>
      <c r="B4" s="10" t="s">
        <v>412</v>
      </c>
      <c r="C4" s="10" t="s">
        <v>413</v>
      </c>
    </row>
    <row r="5" customFormat="false" ht="15" hidden="false" customHeight="true" outlineLevel="0" collapsed="false">
      <c r="A5" s="10" t="n">
        <v>4</v>
      </c>
      <c r="B5" s="10" t="s">
        <v>414</v>
      </c>
      <c r="C5" s="10" t="s">
        <v>415</v>
      </c>
    </row>
    <row r="6" customFormat="false" ht="15" hidden="false" customHeight="true" outlineLevel="0" collapsed="false">
      <c r="A6" s="10" t="n">
        <v>5</v>
      </c>
      <c r="B6" s="10" t="s">
        <v>416</v>
      </c>
      <c r="C6" s="10" t="s">
        <v>203</v>
      </c>
    </row>
    <row r="7" customFormat="false" ht="23.25" hidden="false" customHeight="true" outlineLevel="0" collapsed="false">
      <c r="A7" s="10" t="n">
        <v>6</v>
      </c>
      <c r="B7" s="10" t="s">
        <v>417</v>
      </c>
      <c r="C7" s="10" t="s">
        <v>203</v>
      </c>
    </row>
    <row r="8" customFormat="false" ht="23.25" hidden="false" customHeight="true" outlineLevel="0" collapsed="false">
      <c r="A8" s="10" t="n">
        <v>7</v>
      </c>
      <c r="B8" s="10" t="s">
        <v>418</v>
      </c>
      <c r="C8" s="10" t="s">
        <v>419</v>
      </c>
    </row>
    <row r="9" customFormat="false" ht="23.25" hidden="false" customHeight="true" outlineLevel="0" collapsed="false">
      <c r="A9" s="10" t="n">
        <v>8</v>
      </c>
      <c r="B9" s="10" t="s">
        <v>420</v>
      </c>
      <c r="C9" s="10" t="s">
        <v>421</v>
      </c>
    </row>
    <row r="10" customFormat="false" ht="23.25" hidden="false" customHeight="true" outlineLevel="0" collapsed="false">
      <c r="A10" s="10" t="n">
        <v>9</v>
      </c>
      <c r="B10" s="10" t="s">
        <v>422</v>
      </c>
      <c r="C10" s="10" t="s">
        <v>423</v>
      </c>
    </row>
    <row r="11" customFormat="false" ht="15" hidden="false" customHeight="true" outlineLevel="0" collapsed="false">
      <c r="A11" s="10" t="n">
        <v>10</v>
      </c>
      <c r="B11" s="10" t="s">
        <v>424</v>
      </c>
      <c r="C11" s="10" t="s">
        <v>425</v>
      </c>
    </row>
    <row r="12" customFormat="false" ht="15" hidden="false" customHeight="true" outlineLevel="0" collapsed="false">
      <c r="A12" s="10" t="n">
        <v>11</v>
      </c>
      <c r="B12" s="10" t="s">
        <v>426</v>
      </c>
      <c r="C12" s="10" t="s">
        <v>427</v>
      </c>
    </row>
    <row r="13" customFormat="false" ht="15" hidden="false" customHeight="true" outlineLevel="0" collapsed="false">
      <c r="A13" s="10" t="n">
        <v>12</v>
      </c>
      <c r="B13" s="10" t="s">
        <v>428</v>
      </c>
      <c r="C13" s="10" t="s">
        <v>311</v>
      </c>
    </row>
    <row r="14" customFormat="false" ht="23.25" hidden="false" customHeight="true" outlineLevel="0" collapsed="false">
      <c r="A14" s="10" t="n">
        <v>13</v>
      </c>
      <c r="B14" s="10" t="s">
        <v>429</v>
      </c>
      <c r="C14" s="10" t="s">
        <v>430</v>
      </c>
    </row>
    <row r="15" customFormat="false" ht="23.25" hidden="false" customHeight="true" outlineLevel="0" collapsed="false">
      <c r="A15" s="10" t="n">
        <v>14</v>
      </c>
      <c r="B15" s="10" t="s">
        <v>431</v>
      </c>
      <c r="C15" s="10" t="s">
        <v>432</v>
      </c>
    </row>
    <row r="16" customFormat="false" ht="23.25" hidden="false" customHeight="true" outlineLevel="0" collapsed="false">
      <c r="A16" s="10" t="n">
        <v>15</v>
      </c>
      <c r="B16" s="10" t="s">
        <v>433</v>
      </c>
      <c r="C16" s="10" t="s">
        <v>434</v>
      </c>
    </row>
    <row r="17" customFormat="false" ht="23.25" hidden="false" customHeight="true" outlineLevel="0" collapsed="false">
      <c r="A17" s="10" t="n">
        <v>16</v>
      </c>
      <c r="B17" s="10" t="s">
        <v>435</v>
      </c>
      <c r="C17" s="10" t="s">
        <v>436</v>
      </c>
    </row>
    <row r="18" customFormat="false" ht="15" hidden="false" customHeight="true" outlineLevel="0" collapsed="false">
      <c r="A18" s="10" t="n">
        <v>17</v>
      </c>
      <c r="B18" s="10" t="s">
        <v>437</v>
      </c>
      <c r="C18" s="10" t="s">
        <v>438</v>
      </c>
    </row>
    <row r="19" customFormat="false" ht="23.25" hidden="false" customHeight="true" outlineLevel="0" collapsed="false">
      <c r="A19" s="10" t="n">
        <v>18</v>
      </c>
      <c r="B19" s="10" t="s">
        <v>439</v>
      </c>
      <c r="C19" s="10" t="s">
        <v>440</v>
      </c>
    </row>
    <row r="20" customFormat="false" ht="23.25" hidden="false" customHeight="true" outlineLevel="0" collapsed="false">
      <c r="A20" s="10" t="n">
        <v>19</v>
      </c>
      <c r="B20" s="10" t="s">
        <v>441</v>
      </c>
      <c r="C20" s="10" t="s">
        <v>442</v>
      </c>
    </row>
    <row r="21" customFormat="false" ht="23.25" hidden="false" customHeight="true" outlineLevel="0" collapsed="false">
      <c r="A21" s="10" t="n">
        <v>20</v>
      </c>
      <c r="B21" s="10" t="s">
        <v>443</v>
      </c>
      <c r="C21" s="10" t="s">
        <v>444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2026-10-14T05:37:47Z</dcterms:created>
  <dc:creator>openpyxl</dc:creator>
  <dc:description/>
  <dc:language>en-US</dc:language>
  <cp:lastModifiedBy/>
  <dcterms:modified xsi:type="dcterms:W3CDTF">2026-10-14T05:47:28Z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