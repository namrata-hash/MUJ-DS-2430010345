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1.xml.rels" ContentType="application/vnd.openxmlformats-package.relationships+xml"/>
  <Override PartName="/xl/drawings/drawing3.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Summary" sheetId="2" state="visible" r:id="rId4"/>
    <sheet name="Paper_Summaries" sheetId="3" state="visible" r:id="rId5"/>
    <sheet name="Studies" sheetId="4" state="visible" r:id="rId6"/>
    <sheet name="Reviews" sheetId="5" state="visible" r:id="rId7"/>
    <sheet name="Datasets" sheetId="6" state="visible" r:id="rId8"/>
    <sheet name="Gaps" sheetId="7" state="visible" r:id="rId9"/>
    <sheet name="References" sheetId="8" state="visible" r:id="rId10"/>
    <sheet name="This_Study" sheetId="9" state="visible" r:id="rId11"/>
  </sheets>
  <definedNames>
    <definedName function="false" hidden="true" localSheetId="2" name="_xlnm._FilterDatabase" vbProcedure="false">Paper_Summaries!$A$1:$G$21</definedName>
    <definedName function="false" hidden="true" localSheetId="3" name="_xlnm._FilterDatabase" vbProcedure="false">Studies!$A$1:$U$21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<sst xmlns="http://schemas.openxmlformats.org/spreadsheetml/2006/main" count="673" uniqueCount="528">
  <si>
    <t xml:space="preserve">Literature Review Workbook: ML/DL Intrusion Detection for IoT (CICIoT2023 focus)</t>
  </si>
  <si>
    <t xml:space="preserve">Companion to the literature review paper. Covers 20 studies: 8 reviews/surveys, 11 experimental studies, 1 benchmark.</t>
  </si>
  <si>
    <t xml:space="preserve">The author's own experiments are on This_Study and are not counted in the 20 studies.</t>
  </si>
  <si>
    <t xml:space="preserve">Sheets:</t>
  </si>
  <si>
    <t xml:space="preserve">Summary - formula-driven counts and charts.</t>
  </si>
  <si>
    <t xml:space="preserve">Studies - one row per study with extraction fields and theme flags (1 = theme covered).</t>
  </si>
  <si>
    <t xml:space="preserve">Reviews - comparison of the 8 reviews and surveys.</t>
  </si>
  <si>
    <t xml:space="preserve">Datasets - datasets used and how many included studies list each.</t>
  </si>
  <si>
    <t xml:space="preserve">Gaps - research gaps and the studies that raise them.</t>
  </si>
  <si>
    <t xml:space="preserve">References - citations for the 20 studies.</t>
  </si>
  <si>
    <t xml:space="preserve">This_Study - the author's own deep-learning experiments (MLP, GRU, LSTM, Transformer): setup, results, theme flags and relation to the gaps.</t>
  </si>
  <si>
    <t xml:space="preserve">Legend: blue text = value or judgement entered by me from the papers (or, on This_Study, from my notebook output); black = formula or label.</t>
  </si>
  <si>
    <t xml:space="preserve">Assumptions and caveats:</t>
  </si>
  <si>
    <t xml:space="preserve">1. The corpus is the 20 papers supplied, not a systematic search, so counts describe this corpus only.</t>
  </si>
  <si>
    <t xml:space="preserve">2. Theme flags are my judgement of whether a paper substantively covers a theme; edit the 1/0 values in Studies columns M-T and Summary updates.</t>
  </si>
  <si>
    <t xml:space="preserve">3. Figures are as reported by the authors and were not reproduced.</t>
  </si>
  <si>
    <t xml:space="preserve">4. Thirteen papers were read from extracted text focusing on abstracts, methods, results and conclusions.</t>
  </si>
  <si>
    <t xml:space="preserve">5. 'Not recorded' means the text I read did not state the detail.</t>
  </si>
  <si>
    <t xml:space="preserve">6. Three items are not standard journal articles: Mughogho (MSc project), Mishra &amp; Reddy (preprint), Salakhutdinov (venue not stated); Kwari &amp; Rajkumar is a conference paper.</t>
  </si>
  <si>
    <t xml:space="preserve">7. Years: Salakhutdinov has no stated date and is entered as n.d.</t>
  </si>
  <si>
    <t xml:space="preserve">8. This_Study holds my own experiments (notebook output, one run per model, CPU). They are not part of the 20-study corpus, so no Summary count includes them.</t>
  </si>
  <si>
    <t xml:space="preserve">9. Theme flags and gap statuses on This_Study are my judgement, like the flags on Studies.</t>
  </si>
  <si>
    <t xml:space="preserve">Summary of the 20-study corpus</t>
  </si>
  <si>
    <t xml:space="preserve">Measure</t>
  </si>
  <si>
    <t xml:space="preserve">Value</t>
  </si>
  <si>
    <t xml:space="preserve">Total studies</t>
  </si>
  <si>
    <t xml:space="preserve">Reviews and surveys</t>
  </si>
  <si>
    <t xml:space="preserve">Experimental studies</t>
  </si>
  <si>
    <t xml:space="preserve">Benchmark studies</t>
  </si>
  <si>
    <t xml:space="preserve">Studies published 2024</t>
  </si>
  <si>
    <t xml:space="preserve">Studies published 2025</t>
  </si>
  <si>
    <t xml:space="preserve">Studies published 2026</t>
  </si>
  <si>
    <t xml:space="preserve">Studies with no stated date</t>
  </si>
  <si>
    <t xml:space="preserve">Peer-reviewed journal articles</t>
  </si>
  <si>
    <t xml:space="preserve">Not standard journal articles</t>
  </si>
  <si>
    <t xml:space="preserve">Experimental studies using CICIoT2023</t>
  </si>
  <si>
    <t xml:space="preserve">Share of experimental studies using CICIoT2023</t>
  </si>
  <si>
    <t xml:space="preserve">Average themes covered per study</t>
  </si>
  <si>
    <t xml:space="preserve">Total research gaps listed</t>
  </si>
  <si>
    <t xml:space="preserve">Theme coverage</t>
  </si>
  <si>
    <t xml:space="preserve">Theme</t>
  </si>
  <si>
    <t xml:space="preserve">Studies covering it</t>
  </si>
  <si>
    <t xml:space="preserve">Share of corpus</t>
  </si>
  <si>
    <t xml:space="preserve">ML / ensembles</t>
  </si>
  <si>
    <t xml:space="preserve">Deep learning</t>
  </si>
  <si>
    <t xml:space="preserve">Explainable AI</t>
  </si>
  <si>
    <t xml:space="preserve">Federated / privacy</t>
  </si>
  <si>
    <t xml:space="preserve">Adversarial robustness</t>
  </si>
  <si>
    <t xml:space="preserve">Class imbalance</t>
  </si>
  <si>
    <t xml:space="preserve">Edge / efficiency</t>
  </si>
  <si>
    <t xml:space="preserve">Multiple datasets / benchmarking</t>
  </si>
  <si>
    <t xml:space="preserve">Year distribution</t>
  </si>
  <si>
    <t xml:space="preserve">Year</t>
  </si>
  <si>
    <t xml:space="preserve">Studies</t>
  </si>
  <si>
    <t xml:space="preserve">2024</t>
  </si>
  <si>
    <t xml:space="preserve">2025</t>
  </si>
  <si>
    <t xml:space="preserve">2026</t>
  </si>
  <si>
    <t xml:space="preserve">Own experiments (this study) are on This_Study and are not included in these counts.</t>
  </si>
  <si>
    <t xml:space="preserve">ID</t>
  </si>
  <si>
    <t xml:space="preserve">Study</t>
  </si>
  <si>
    <t xml:space="preserve">Aim</t>
  </si>
  <si>
    <t xml:space="preserve">Method and data</t>
  </si>
  <si>
    <t xml:space="preserve">Main results</t>
  </si>
  <si>
    <t xml:space="preserve">Main limitation</t>
  </si>
  <si>
    <t xml:space="preserve">Poltoratskyi &amp; Gavrylenko</t>
  </si>
  <si>
    <t xml:space="preserve">Review the evolution of IDS from 2020 to 2025.</t>
  </si>
  <si>
    <t xml:space="preserve">Taxonomy by detection method, deployment, data source and response; analysis of modern datasets (ROAD, Edge-IIoT-2022, CICIoT2023, CICIoMT2024, CREMEv2, RT-IoT2022) and of ML, DL, hybrid and federated approaches.</t>
  </si>
  <si>
    <t xml:space="preserve">Accuracy above 98% is common on benchmarks, but imbalance, zero-day detection, scalability and privacy remain open; recommends MCC, F1, AUC-PR and operational metrics.</t>
  </si>
  <si>
    <t xml:space="preserve">Narrative synthesis; no screening counts reported.</t>
  </si>
  <si>
    <t xml:space="preserve">Rivandi &amp; Oskouei</t>
  </si>
  <si>
    <t xml:space="preserve">Detect attacks in mobile social (ad hoc) networks.</t>
  </si>
  <si>
    <t xml:space="preserve">Social-network metrics (betweenness, degree) in ego networks with a normal profile and a two-standard-deviation threshold; NS2 simulation, 30 nodes, AODV, four attacks (packet drop, black hole, sleep deprivation, TCP SYN).</t>
  </si>
  <si>
    <t xml:space="preserve">Single-node detection 99.8-99.9%; detection delay 0.424 s vs 1.051 s for an Apriori-based IDS; fewer rules.</t>
  </si>
  <si>
    <t xml:space="preserve">Small simulation; no IoT benchmark data; multi-node detection only 40-61%.</t>
  </si>
  <si>
    <t xml:space="preserve">Meena &amp; Indian</t>
  </si>
  <si>
    <t xml:space="preserve">Compare IDS methods across datasets with an enhanced LSTM.</t>
  </si>
  <si>
    <t xml:space="preserve">Two LSTM layers of 100 units, flatten and softmax output, 20 epochs, Adam; compared with logistic regression, AdaBoost, DNN, RNN on KDD-Cup'99, NSL-KDD, UNSW-NB15, CICIoT2023.</t>
  </si>
  <si>
    <t xml:space="preserve">98.58% accuracy on CICIoT2023 (34 classes) vs 98.26% DNN and 98.25% RNN.</t>
  </si>
  <si>
    <t xml:space="preserve">Figures differ between tables; small margin over simple DL baselines.</t>
  </si>
  <si>
    <t xml:space="preserve">Kwari &amp; Rajkumar</t>
  </si>
  <si>
    <t xml:space="preserve">Evaluate a lightweight soft-voting ensemble under natural imbalance.</t>
  </si>
  <si>
    <t xml:space="preserve">Logistic regression, random forest and AdaBoost; 100,000 CICIoT2023 samples (80,000 train, 20,000 test); no resampling.</t>
  </si>
  <si>
    <t xml:space="preserve">76.88% accuracy; macro-F1 0.54 (weighted F1 0.74); flooding and Mirai classes near F1 1.00; rare classes 0.00.</t>
  </si>
  <si>
    <t xml:space="preserve">Subset, single split, no mitigation tested.</t>
  </si>
  <si>
    <t xml:space="preserve">Salakhutdinov</t>
  </si>
  <si>
    <t xml:space="preserve">n.d.</t>
  </si>
  <si>
    <t xml:space="preserve">Critically review AI and DL for IoT network intrusion detection.</t>
  </si>
  <si>
    <t xml:space="preserve">Targeted review of architectures, learning strategies and datasets (N-BaIoT, Bot-IoT, TON_IoT, Edge-IIoTset, CICIoT2023).</t>
  </si>
  <si>
    <t xml:space="preserve">Conceptual framework separating anomaly detection from intrusion classification, adding explainability, decision support and governed adaptation.</t>
  </si>
  <si>
    <t xml:space="preserve">Framework not experimentally validated; venue not stated.</t>
  </si>
  <si>
    <t xml:space="preserve">Imran et al.</t>
  </si>
  <si>
    <t xml:space="preserve">An explainable IDS comparing six models.</t>
  </si>
  <si>
    <t xml:space="preserve">Decision tree, random forest, XGBoost, CNN, LSTM, Transformer on 18,000 samples with six harmonised classes from CICIoT2023 and IoT-23; SHAP and LIME.</t>
  </si>
  <si>
    <t xml:space="preserve">LSTM best: 96.02% accuracy, F1 94.69%, ROC-AUC 0.97; top features flow duration, packet rate, bytes per second.</t>
  </si>
  <si>
    <t xml:space="preserve">Small sample; qualitative XAI evaluation; some text inconsistencies.</t>
  </si>
  <si>
    <t xml:space="preserve">Hajjouz &amp; Avksentieva</t>
  </si>
  <si>
    <t xml:space="preserve">Detect DoS, DDoS and Mirai subtypes.</t>
  </si>
  <si>
    <t xml:space="preserve">Full CICIoT2023 (45.8 million flows); Spearman clustering to 23 features; class weights; CatBoost; six-fold stratified validation; SHAP.</t>
  </si>
  <si>
    <t xml:space="preserve">99.96% accuracy, precision, recall and F1 on 20 classes; 7.16e-07 s per flow.</t>
  </si>
  <si>
    <t xml:space="preserve">Excludes other attack families; macro-F1 not reported.</t>
  </si>
  <si>
    <t xml:space="preserve">Winanto &amp; Idris</t>
  </si>
  <si>
    <t xml:space="preserve">Review adversarial robustness of DL-based IDS.</t>
  </si>
  <si>
    <t xml:space="preserve">PRISMA 2020; 5,890 records, 252 full texts, 216 studies (2020 to March 2026).</t>
  </si>
  <si>
    <t xml:space="preserve">FGSM in 76.9% of studies; adversarial training 61.6%; black-box attacks and certified defences rare; CICIoT2023 under 5%.</t>
  </si>
  <si>
    <t xml:space="preserve">Single-reviewer screening calibrated on a 50-record sample (kappa 0.81).</t>
  </si>
  <si>
    <t xml:space="preserve">Erskine</t>
  </si>
  <si>
    <t xml:space="preserve">A combined detection and prevention model.</t>
  </si>
  <si>
    <t xml:space="preserve">Deep-learning MLP (DLMIDPSM) trained on over 80% of CICIoT2023.</t>
  </si>
  <si>
    <t xml:space="preserve">Accuracy above 85%; 99% precision on Mirai traffic.</t>
  </si>
  <si>
    <t xml:space="preserve">Prevention judged by confusion-matrix values, not a blocking test.</t>
  </si>
  <si>
    <t xml:space="preserve">Diana et al.</t>
  </si>
  <si>
    <t xml:space="preserve">Overview of IDS for network security.</t>
  </si>
  <si>
    <t xml:space="preserve">Review of architectures, detection techniques, datasets and deployment in cloud, virtualised, IoT and industrial networks.</t>
  </si>
  <si>
    <t xml:space="preserve">Scalability and false alarms remain open; AI/ML and blockchain are promising directions.</t>
  </si>
  <si>
    <t xml:space="preserve">Narrative review.</t>
  </si>
  <si>
    <t xml:space="preserve">Yaras &amp; Dener</t>
  </si>
  <si>
    <t xml:space="preserve">Detect DDoS attacks in a big-data setting.</t>
  </si>
  <si>
    <t xml:space="preserve">Hybrid 1D-CNN + LSTM in PySpark with correlation-based feature reduction on CICIoT2023 and TON_IoT; compared with ten algorithms.</t>
  </si>
  <si>
    <t xml:space="preserve">99.995% binary and 99.96% multiclass on CICIoT2023; 98.75% binary on TON_IoT.</t>
  </si>
  <si>
    <t xml:space="preserve">Long training on large data; balancing not recorded.</t>
  </si>
  <si>
    <t xml:space="preserve">Mughogho</t>
  </si>
  <si>
    <t xml:space="preserve">An ML-based IoT IDS using an ensemble.</t>
  </si>
  <si>
    <t xml:space="preserve">Mutual-information feature selection; decision tree, random forest, XGBoost and soft voting on CICIoT2023.</t>
  </si>
  <si>
    <t xml:space="preserve">99.80% binary and 99.25% multiclass for the ensemble; members correctly pass only 89-93% of benign flows in binary detection.</t>
  </si>
  <si>
    <t xml:space="preserve">MSc project; gains over members only 0.1-0.3 points.</t>
  </si>
  <si>
    <t xml:space="preserve">Ahmed et al.</t>
  </si>
  <si>
    <t xml:space="preserve">Systematic review of ML-based IDS.</t>
  </si>
  <si>
    <t xml:space="preserve">PRISMA; 22,558 records, 125 papers (January 2022 to May 2025).</t>
  </si>
  <si>
    <t xml:space="preserve">Five themes (ensemble/hybrid, context-specific, data-centric, deep architectures, trustworthiness); about 2% use XAI, 4% test robustness, none validates in production.</t>
  </si>
  <si>
    <t xml:space="preserve">Three databases searched.</t>
  </si>
  <si>
    <t xml:space="preserve">Bunko et al.</t>
  </si>
  <si>
    <t xml:space="preserve">Survey privacy-preserving federated learning for IDS.</t>
  </si>
  <si>
    <t xml:space="preserve">Review of FL-IDS work and protections such as encryption, differential privacy and secure aggregation.</t>
  </si>
  <si>
    <t xml:space="preserve">Most work only keeps raw data local; inference and poisoning attacks remain.</t>
  </si>
  <si>
    <t xml:space="preserve">Survey, no experiments.</t>
  </si>
  <si>
    <t xml:space="preserve">Mondragon et al.</t>
  </si>
  <si>
    <t xml:space="preserve">A standard benchmark for flow-based IDS.</t>
  </si>
  <si>
    <t xml:space="preserve">14 datasets with fixed splits and seven algorithm categories compared by macro-F1.</t>
  </si>
  <si>
    <t xml:space="preserve">CFC best overall, followed by LCCDE and a fully connected network; LITNET (real traffic) gives the lowest scores.</t>
  </si>
  <si>
    <t xml:space="preserve">RBM and GNN methods limited by tuning cost; no single recommended subset.</t>
  </si>
  <si>
    <t xml:space="preserve">Almahaqeri et al.</t>
  </si>
  <si>
    <t xml:space="preserve">Efficient gradient boosting for edge IDS.</t>
  </si>
  <si>
    <t xml:space="preserve">XGBoost, LightGBM, CatBoost on CICIoT2023 for binary, 8-class and 34-class tasks; stratified undersampling; gain-based selection (46 to 23 features).</t>
  </si>
  <si>
    <t xml:space="preserve">XGBoost 99.61% accuracy and 0.995 macro-F1 binary at 0.355 microseconds per sample; latency cut 30-51%.</t>
  </si>
  <si>
    <t xml:space="preserve">Undersampled evaluation; single dataset; flow-level only.</t>
  </si>
  <si>
    <t xml:space="preserve">Khan et al.</t>
  </si>
  <si>
    <t xml:space="preserve">A resource-efficient IoT IDS.</t>
  </si>
  <si>
    <t xml:space="preserve">BGL-RID (Boruta, greedy forward selection, SMOTE, LightGBM) on TON_IoT, a Raspberry Pi dataset, CICIDS2018 and CICIoT2023.</t>
  </si>
  <si>
    <t xml:space="preserve">98.88% on CICIoT2023; 99.94% CICIDS2018; 99.91% Raspberry Pi; 99.72% binary and 98.94% multiclass on TON_IoT; best efficiency ratio.</t>
  </si>
  <si>
    <t xml:space="preserve">SMOTE; small abstract/conclusion mismatch.</t>
  </si>
  <si>
    <t xml:space="preserve">Mallidi &amp; Ramisetty</t>
  </si>
  <si>
    <t xml:space="preserve">Review training and deployment strategies for AI-based IoT IDS.</t>
  </si>
  <si>
    <t xml:space="preserve">Centralised, distributed and federated training; cloud, fog and edge deployment; attack taxonomy, datasets and metrics.</t>
  </si>
  <si>
    <t xml:space="preserve">FL improves scalability and privacy; hybrid deployment balances resources.</t>
  </si>
  <si>
    <t xml:space="preserve">Review only.</t>
  </si>
  <si>
    <t xml:space="preserve">Hozouri et al.</t>
  </si>
  <si>
    <t xml:space="preserve">Survey IDS and ML/DL techniques.</t>
  </si>
  <si>
    <t xml:space="preserve">IDS types and architectures, with CIC-IDS2017, KDD-Cup'99 and UNSW-NB15.</t>
  </si>
  <si>
    <t xml:space="preserve">DL improves detection of complex attacks; dependence on labelled data and class imbalance are key challenges.</t>
  </si>
  <si>
    <t xml:space="preserve">Relies on legacy datasets.</t>
  </si>
  <si>
    <t xml:space="preserve">Mishra &amp; Reddy</t>
  </si>
  <si>
    <t xml:space="preserve">A federated hybrid DL framework for IoT IDS.</t>
  </si>
  <si>
    <t xml:space="preserve">N-BaIoT, CICIoT2023, BoT-IoT; preprocessing, balancing and individual-dataset training with CNN, LSTM, BiLSTM, attention, tiny Transformer, random forest, XGBoost, deep-feature XGBoost.</t>
  </si>
  <si>
    <t xml:space="preserve">XGBoost-based models strongest (0.921 accuracy, 0.858 F1, macro-averaged); CICIoT2023 hardest multiclass setting.</t>
  </si>
  <si>
    <t xml:space="preserve">Preprint; federated stage not yet run.</t>
  </si>
  <si>
    <t xml:space="preserve">Figures are as reported by the authors; blue = entered from the papers. Thirteen papers were read from extracted text focusing on abstracts, methods, results and conclusions.</t>
  </si>
  <si>
    <t xml:space="preserve">First author</t>
  </si>
  <si>
    <t xml:space="preserve">Short title</t>
  </si>
  <si>
    <t xml:space="preserve">Venue</t>
  </si>
  <si>
    <t xml:space="preserve">Type</t>
  </si>
  <si>
    <t xml:space="preserve">Review status</t>
  </si>
  <si>
    <t xml:space="preserve">Datasets</t>
  </si>
  <si>
    <t xml:space="preserve">Methods / focus</t>
  </si>
  <si>
    <t xml:space="preserve">Key findings</t>
  </si>
  <si>
    <t xml:space="preserve">Uses CICIoT2023?</t>
  </si>
  <si>
    <t xml:space="preserve">Themes covered</t>
  </si>
  <si>
    <t xml:space="preserve">Evolution of IDS: datasets, DL approaches, architectural challenges</t>
  </si>
  <si>
    <t xml:space="preserve">Advanced Information Systems 10(2)</t>
  </si>
  <si>
    <t xml:space="preserve">Review</t>
  </si>
  <si>
    <t xml:space="preserve">Peer-reviewed journal</t>
  </si>
  <si>
    <t xml:space="preserve">Many (ROAD, Edge-IIoT-2022, CICIoT2023, etc.)</t>
  </si>
  <si>
    <t xml:space="preserve">Taxonomy, dataset analysis, ML/DL/FL/XAI synthesis 2020-2025</t>
  </si>
  <si>
    <t xml:space="preserve">Benchmarks exceed 98% but imbalance, zero-day detection, scalability and privacy unresolved; recommends MCC, F1, AUC-PR and operational metrics</t>
  </si>
  <si>
    <t xml:space="preserve">Narrative synthesis; screening counts not reported</t>
  </si>
  <si>
    <t xml:space="preserve">Discussed</t>
  </si>
  <si>
    <t xml:space="preserve">Novel IDS for mobile social networks</t>
  </si>
  <si>
    <t xml:space="preserve">J. Soft Computing and Decision Analytics 3(1)</t>
  </si>
  <si>
    <t xml:space="preserve">Experimental</t>
  </si>
  <si>
    <t xml:space="preserve">NS2 simulation (30 nodes)</t>
  </si>
  <si>
    <t xml:space="preserve">Social-network metrics (betweenness, degree) with normal-profile thresholds</t>
  </si>
  <si>
    <t xml:space="preserve">Single-node detection 99.8-99.9%; detection delay 0.424 s vs 1.051 s for Apriori-based IDS</t>
  </si>
  <si>
    <t xml:space="preserve">Small simulation; not IoT benchmark data; unrelated citations in reference list</t>
  </si>
  <si>
    <t xml:space="preserve">No</t>
  </si>
  <si>
    <t xml:space="preserve">IDS-IoT with enhanced LSTM</t>
  </si>
  <si>
    <t xml:space="preserve">Artificial Intelligence and Applications</t>
  </si>
  <si>
    <t xml:space="preserve">KDD-Cup'99, NSL-KDD, UNSW-NB15, CICIoT2023</t>
  </si>
  <si>
    <t xml:space="preserve">Two-layer LSTM vs LR, AdaBoost, DNN, RNN</t>
  </si>
  <si>
    <t xml:space="preserve">98.58% accuracy on CICIoT2023 (34 classes)</t>
  </si>
  <si>
    <t xml:space="preserve">Inconsistent figures across tables; small margin over DNN and RNN</t>
  </si>
  <si>
    <t xml:space="preserve">Yes</t>
  </si>
  <si>
    <t xml:space="preserve">Enhanced voting ensemble on CICIoT2023</t>
  </si>
  <si>
    <t xml:space="preserve">IGCAI 2025</t>
  </si>
  <si>
    <t xml:space="preserve">Conference paper</t>
  </si>
  <si>
    <t xml:space="preserve">CICIoT2023</t>
  </si>
  <si>
    <t xml:space="preserve">Soft voting of LR, RF, AdaBoost; no rebalancing</t>
  </si>
  <si>
    <t xml:space="preserve">76.88% accuracy; macro-F1 0.54; rare classes F1 0.00</t>
  </si>
  <si>
    <t xml:space="preserve">100,000-sample subset; single split; no mitigation tested</t>
  </si>
  <si>
    <t xml:space="preserve">AI and DL for network intrusion detection in IoT</t>
  </si>
  <si>
    <t xml:space="preserve">Not stated</t>
  </si>
  <si>
    <t xml:space="preserve">Venue not stated</t>
  </si>
  <si>
    <t xml:space="preserve">IoT datasets (N-BaIoT, Bot-IoT, TON_IoT, Edge-IIoTset, CICIoT2023)</t>
  </si>
  <si>
    <t xml:space="preserve">Critical review and conceptual framework</t>
  </si>
  <si>
    <t xml:space="preserve">Separates anomaly detection from intrusion classification; stresses drift, explainability, defense in depth</t>
  </si>
  <si>
    <t xml:space="preserve">Framework not validated; reference list irregularities</t>
  </si>
  <si>
    <t xml:space="preserve">Explainable AI-driven IDS for IoT</t>
  </si>
  <si>
    <t xml:space="preserve">J. Computers and Intelligent Systems 4(2)</t>
  </si>
  <si>
    <t xml:space="preserve">CICIoT2023, IoT-23</t>
  </si>
  <si>
    <t xml:space="preserve">DT, RF, XGBoost, CNN, LSTM, Transformer with SHAP and LIME</t>
  </si>
  <si>
    <t xml:space="preserve">LSTM best: 96.02% accuracy, F1 94.69%, ROC-AUC 0.97; SHAP/LIME highlight flow duration, packet rate, bytes/s</t>
  </si>
  <si>
    <t xml:space="preserve">18,000-sample, 6-class set; abstract names LR which was not evaluated; qualitative XAI evaluation</t>
  </si>
  <si>
    <t xml:space="preserve">Hierarchical feature selection and CatBoost for DoS/DDoS/Mirai subtypes</t>
  </si>
  <si>
    <t xml:space="preserve">Data and Metadata 3</t>
  </si>
  <si>
    <t xml:space="preserve">Spearman clustering to 23 features; CatBoost; stratified six-fold CV; SHAP</t>
  </si>
  <si>
    <t xml:space="preserve">99.96% on 20 classes; 7.16e-07 s per flow</t>
  </si>
  <si>
    <t xml:space="preserve">Excludes other attack families; macro-F1 not reported</t>
  </si>
  <si>
    <t xml:space="preserve">Adversarial robustness of DL-based IDS: systematic review</t>
  </si>
  <si>
    <t xml:space="preserve">IEEE Access 14</t>
  </si>
  <si>
    <t xml:space="preserve">Systematic review</t>
  </si>
  <si>
    <t xml:space="preserve">216 studies</t>
  </si>
  <si>
    <t xml:space="preserve">PRISMA 2020 review of attacks, defences, datasets</t>
  </si>
  <si>
    <t xml:space="preserve">FGSM in 76.9% of studies; adversarial training 61.6%; CICIoT2023 under 5% of corpus</t>
  </si>
  <si>
    <t xml:space="preserve">Single-reviewer screening (kappa 0.81 on 50-record sample)</t>
  </si>
  <si>
    <t xml:space="preserve">Real-time IDPS on CICIoT dataset based on deep learning</t>
  </si>
  <si>
    <t xml:space="preserve">Applied System Innovation 8:52</t>
  </si>
  <si>
    <t xml:space="preserve">DLMLP detection and prevention model</t>
  </si>
  <si>
    <t xml:space="preserve">Accuracy above 85%; 99% precision on Mirai</t>
  </si>
  <si>
    <t xml:space="preserve">Prevention judged by confusion matrix; modest accuracy</t>
  </si>
  <si>
    <t xml:space="preserve">Overview on IDS for computer networking security</t>
  </si>
  <si>
    <t xml:space="preserve">Computers 14:87</t>
  </si>
  <si>
    <t xml:space="preserve">General</t>
  </si>
  <si>
    <t xml:space="preserve">Architectures, detection techniques, environments; AI/ML and blockchain</t>
  </si>
  <si>
    <t xml:space="preserve">Scalability and false positives/negatives remain open</t>
  </si>
  <si>
    <t xml:space="preserve">Read from abstract and key sections</t>
  </si>
  <si>
    <t xml:space="preserve">IoT-based IDS using a new hybrid DL algorithm</t>
  </si>
  <si>
    <t xml:space="preserve">Electronics 13:1053</t>
  </si>
  <si>
    <t xml:space="preserve">CICIoT2023, TON_IoT</t>
  </si>
  <si>
    <t xml:space="preserve">1D-CNN + LSTM in PySpark; compared with ten algorithms</t>
  </si>
  <si>
    <t xml:space="preserve">99.995% binary and 99.96% multiclass on CICIoT2023; 98.75% binary on TON_IoT</t>
  </si>
  <si>
    <t xml:space="preserve">Long training on large data; balancing not recorded</t>
  </si>
  <si>
    <t xml:space="preserve">Enhancing IoT network security with ML</t>
  </si>
  <si>
    <t xml:space="preserve">National College of Ireland (MSc project)</t>
  </si>
  <si>
    <t xml:space="preserve">MSc project</t>
  </si>
  <si>
    <t xml:space="preserve">Mutual-information selection; DT, RF, XGBoost, soft voting</t>
  </si>
  <si>
    <t xml:space="preserve">99.80% binary; 99.25% multiclass</t>
  </si>
  <si>
    <t xml:space="preserve">Benign true-negative rate 89-93% for members; ensemble gains 0.1-0.3 points</t>
  </si>
  <si>
    <t xml:space="preserve">Systematic literature review on ML for IDS</t>
  </si>
  <si>
    <t xml:space="preserve">Future Internet 18:470</t>
  </si>
  <si>
    <t xml:space="preserve">125 studies</t>
  </si>
  <si>
    <t xml:space="preserve">PRISMA review, five themes</t>
  </si>
  <si>
    <t xml:space="preserve">About 2% use XAI, 4% test robustness, none validated in production</t>
  </si>
  <si>
    <t xml:space="preserve">Three databases searched</t>
  </si>
  <si>
    <t xml:space="preserve">Privacy-preserving federated learning for IDS</t>
  </si>
  <si>
    <t xml:space="preserve">Artificial Intelligence Review 59:125</t>
  </si>
  <si>
    <t xml:space="preserve">Survey</t>
  </si>
  <si>
    <t xml:space="preserve">FL-IDS literature</t>
  </si>
  <si>
    <t xml:space="preserve">Encryption, differential privacy, secure aggregation</t>
  </si>
  <si>
    <t xml:space="preserve">Most work only keeps data local; inference and poisoning risks remain</t>
  </si>
  <si>
    <t xml:space="preserve">Advanced IDS: comparative study of datasets and ML algorithms</t>
  </si>
  <si>
    <t xml:space="preserve">Applied Intelligence 55:608</t>
  </si>
  <si>
    <t xml:space="preserve">Benchmark</t>
  </si>
  <si>
    <t xml:space="preserve">14 flow datasets</t>
  </si>
  <si>
    <t xml:space="preserve">Seven algorithm categories compared by macro-F1</t>
  </si>
  <si>
    <t xml:space="preserve">CFC best macro-F1; LITNET (real traffic) lowest</t>
  </si>
  <si>
    <t xml:space="preserve">RBM and GNN methods limited by tuning cost</t>
  </si>
  <si>
    <t xml:space="preserve">Not recorded</t>
  </si>
  <si>
    <t xml:space="preserve">Optimized gradient boosting for IoT IDS on CICIoT2023</t>
  </si>
  <si>
    <t xml:space="preserve">Scientific Reports</t>
  </si>
  <si>
    <t xml:space="preserve">XGBoost, LightGBM, CatBoost; undersampling; gain-based selection</t>
  </si>
  <si>
    <t xml:space="preserve">XGBoost 99.61% binary; features 46 to 23 cut latency 30-51%</t>
  </si>
  <si>
    <t xml:space="preserve">Undersampled evaluation; single dataset; flow-level only</t>
  </si>
  <si>
    <t xml:space="preserve">Resource-efficient IoT IDS with hybrid feature selection</t>
  </si>
  <si>
    <t xml:space="preserve">TON_IoT, Raspberry Pi, CICIDS2018, CICIoT2023</t>
  </si>
  <si>
    <t xml:space="preserve">BGL-RID (Boruta, greedy selection, SMOTE, LightGBM)</t>
  </si>
  <si>
    <t xml:space="preserve">98.88% on CICIoT2023; 99.94% on CICIDS2018</t>
  </si>
  <si>
    <t xml:space="preserve">SMOTE; abstract/conclusion mismatch (98.94 vs 98.93)</t>
  </si>
  <si>
    <t xml:space="preserve">Training and deployment strategies for AI-based IDS in IoT</t>
  </si>
  <si>
    <t xml:space="preserve">Discover Internet of Things 5:8</t>
  </si>
  <si>
    <t xml:space="preserve">IoT IDS literature</t>
  </si>
  <si>
    <t xml:space="preserve">Centralised, distributed, federated training; cloud/fog/edge</t>
  </si>
  <si>
    <t xml:space="preserve">FL improves scalability and privacy; hybrid deployment balances resources</t>
  </si>
  <si>
    <t xml:space="preserve">Survey of IDS with advances in ML, DL and emerging challenges</t>
  </si>
  <si>
    <t xml:space="preserve">Discover Artificial Intelligence 5:314</t>
  </si>
  <si>
    <t xml:space="preserve">CIC-IDS2017, KDD-Cup'99, UNSW-NB15</t>
  </si>
  <si>
    <t xml:space="preserve">IDS types, ML/DL techniques</t>
  </si>
  <si>
    <t xml:space="preserve">Labelled-data dependence and imbalance are key limits</t>
  </si>
  <si>
    <t xml:space="preserve">Legacy datasets; read from abstract and key sections</t>
  </si>
  <si>
    <t xml:space="preserve">Federated hybrid DL framework for IoT IDS</t>
  </si>
  <si>
    <t xml:space="preserve">Research Square preprint</t>
  </si>
  <si>
    <t xml:space="preserve">Preprint</t>
  </si>
  <si>
    <t xml:space="preserve">N-BaIoT, CICIoT2023, BoT-IoT</t>
  </si>
  <si>
    <t xml:space="preserve">Hybrid deep models, XGBoost, deep-feature XGBoost; federated planned</t>
  </si>
  <si>
    <t xml:space="preserve">XGBoost-based models strongest; CICIoT2023 hardest; macro avg 0.921 accuracy / 0.858 F1</t>
  </si>
  <si>
    <t xml:space="preserve">Federated stage not run</t>
  </si>
  <si>
    <t xml:space="preserve">Period covered</t>
  </si>
  <si>
    <t xml:space="preserve">Records screened</t>
  </si>
  <si>
    <t xml:space="preserve">Full texts / included</t>
  </si>
  <si>
    <t xml:space="preserve">Method</t>
  </si>
  <si>
    <t xml:space="preserve">Scope</t>
  </si>
  <si>
    <t xml:space="preserve">Key conclusions</t>
  </si>
  <si>
    <t xml:space="preserve">Poltoratskyi &amp; Gavrylenko (2026)</t>
  </si>
  <si>
    <t xml:space="preserve">2020-2025</t>
  </si>
  <si>
    <t xml:space="preserve">Not reported</t>
  </si>
  <si>
    <t xml:space="preserve">Review (PRISMA stated)</t>
  </si>
  <si>
    <t xml:space="preserve">IDS evolution, taxonomy, datasets, DL/FL/XAI</t>
  </si>
  <si>
    <t xml:space="preserve">Benchmarks exceed 98%; imbalance, zero-day, scalability, privacy open</t>
  </si>
  <si>
    <t xml:space="preserve">Salakhutdinov (n.d.)</t>
  </si>
  <si>
    <t xml:space="preserve">Not applicable</t>
  </si>
  <si>
    <t xml:space="preserve">Targeted critical review (no PRISMA counts)</t>
  </si>
  <si>
    <t xml:space="preserve">AI/DL for IoT NIDS; conceptual framework</t>
  </si>
  <si>
    <t xml:space="preserve">Benchmark success does not equal robustness; drift, explainability, defense in depth</t>
  </si>
  <si>
    <t xml:space="preserve">Winanto &amp; Idris (2026)</t>
  </si>
  <si>
    <t xml:space="preserve">Jan 2020 - Mar 2026</t>
  </si>
  <si>
    <t xml:space="preserve">252 full texts; 216 included</t>
  </si>
  <si>
    <t xml:space="preserve">PRISMA 2020 systematic review</t>
  </si>
  <si>
    <t xml:space="preserve">Adversarial robustness of DL-IDS</t>
  </si>
  <si>
    <t xml:space="preserve">White-box attacks and adversarial training dominate; CICIoT2023 under 5% of corpus; 12 gaps</t>
  </si>
  <si>
    <t xml:space="preserve">Diana et al. (2025)</t>
  </si>
  <si>
    <t xml:space="preserve">Narrative review</t>
  </si>
  <si>
    <t xml:space="preserve">Architectures, techniques, datasets, environments</t>
  </si>
  <si>
    <t xml:space="preserve">Scalability and false alarms; AI/ML and blockchain as directions</t>
  </si>
  <si>
    <t xml:space="preserve">Ahmed et al. (2026)</t>
  </si>
  <si>
    <t xml:space="preserve">Jan 2022 - May 2025</t>
  </si>
  <si>
    <t xml:space="preserve">PRISMA systematic review</t>
  </si>
  <si>
    <t xml:space="preserve">ML-based IDS</t>
  </si>
  <si>
    <t xml:space="preserve">Five themes; about 2% XAI, 4% robustness; none validated in production</t>
  </si>
  <si>
    <t xml:space="preserve">Bunko et al. (2026)</t>
  </si>
  <si>
    <t xml:space="preserve">Privacy-preserving FL for IDS</t>
  </si>
  <si>
    <t xml:space="preserve">Most FL-IDS work stops at data locality; inference and poisoning remain</t>
  </si>
  <si>
    <t xml:space="preserve">Mallidi &amp; Ramisetty (2025)</t>
  </si>
  <si>
    <t xml:space="preserve">Systematic literature review</t>
  </si>
  <si>
    <t xml:space="preserve">Training and deployment strategies for AI-IDS in IoT</t>
  </si>
  <si>
    <t xml:space="preserve">FL and hybrid cloud-fog-edge deployment improve scalability and privacy</t>
  </si>
  <si>
    <t xml:space="preserve">Hozouri et al. (2025)</t>
  </si>
  <si>
    <t xml:space="preserve">IDS types, ML/DL, legacy datasets</t>
  </si>
  <si>
    <t xml:space="preserve">Labelled-data dependence and class imbalance</t>
  </si>
  <si>
    <t xml:space="preserve">Screening yield (included / screened)</t>
  </si>
  <si>
    <t xml:space="preserve">Screened</t>
  </si>
  <si>
    <t xml:space="preserve">Included</t>
  </si>
  <si>
    <t xml:space="preserve">Yield</t>
  </si>
  <si>
    <t xml:space="preserve">Dataset</t>
  </si>
  <si>
    <t xml:space="preserve">Characteristics as reported</t>
  </si>
  <si>
    <t xml:space="preserve">Studies listing it (Datasets column)</t>
  </si>
  <si>
    <t xml:space="preserve">Search text</t>
  </si>
  <si>
    <t xml:space="preserve">105 IoT devices; 47 features; 33 attack types plus benign (34 classes); extreme imbalance; about 45.8 million flows in full set</t>
  </si>
  <si>
    <t xml:space="preserve">KDD-Cup'99</t>
  </si>
  <si>
    <t xml:space="preserve">41 features; about 4.9 million records; criticised as outdated and synthetic</t>
  </si>
  <si>
    <t xml:space="preserve">NSL-KDD</t>
  </si>
  <si>
    <t xml:space="preserve">148,517 records; 41 features; redundancy reduced</t>
  </si>
  <si>
    <t xml:space="preserve">UNSW-NB15</t>
  </si>
  <si>
    <t xml:space="preserve">257,673 records; 49 features (as described by Meena &amp; Indian)</t>
  </si>
  <si>
    <t xml:space="preserve">TON_IoT</t>
  </si>
  <si>
    <t xml:space="preserve">Heterogeneous edge-fog-cloud IoT telemetry and network data</t>
  </si>
  <si>
    <t xml:space="preserve">IoT-23</t>
  </si>
  <si>
    <t xml:space="preserve">IoT network captures (used with CICIoT2023 by Imran et al.)</t>
  </si>
  <si>
    <t xml:space="preserve">N-BaIoT</t>
  </si>
  <si>
    <t xml:space="preserve">Commercial IoT devices infected with Mirai/BASHLITE</t>
  </si>
  <si>
    <t xml:space="preserve">BoT-IoT</t>
  </si>
  <si>
    <t xml:space="preserve">Botnet-oriented IoT testbed; class imbalance</t>
  </si>
  <si>
    <t xml:space="preserve">CICIDS2018</t>
  </si>
  <si>
    <t xml:space="preserve">Enterprise-style benchmark used by Khan et al.</t>
  </si>
  <si>
    <t xml:space="preserve">CIC-IDS2017</t>
  </si>
  <si>
    <t xml:space="preserve">Enterprise-style benchmark named by Hozouri et al.</t>
  </si>
  <si>
    <t xml:space="preserve">Note: counts cover the Datasets column only (what each study uses or evaluates). Year values are as I recall or as stated in the papers; verify before citing.</t>
  </si>
  <si>
    <t xml:space="preserve">#</t>
  </si>
  <si>
    <t xml:space="preserve">Research gap</t>
  </si>
  <si>
    <t xml:space="preserve">Evidence</t>
  </si>
  <si>
    <t xml:space="preserve">Study IDs raising it</t>
  </si>
  <si>
    <t xml:space="preserve">Number of studies</t>
  </si>
  <si>
    <t xml:space="preserve">Standardised CICIoT2023 protocol (label set, splits, metrics)</t>
  </si>
  <si>
    <t xml:space="preserve">Accuracy ranges from 76.88% to 99.995% depending on setup</t>
  </si>
  <si>
    <t xml:space="preserve">1, 4, 15</t>
  </si>
  <si>
    <t xml:space="preserve">Cross-dataset and cross-device generalisation</t>
  </si>
  <si>
    <t xml:space="preserve">Best method changes by dataset; no study trains on one dataset and tests on another</t>
  </si>
  <si>
    <t xml:space="preserve">1, 5, 15</t>
  </si>
  <si>
    <t xml:space="preserve">Rare-class detection</t>
  </si>
  <si>
    <t xml:space="preserve">Rare classes F1 0.00 without mitigation; rebalancing choices change results</t>
  </si>
  <si>
    <t xml:space="preserve">1, 4, 13, 16</t>
  </si>
  <si>
    <t xml:space="preserve">Fair deep vs tree comparisons</t>
  </si>
  <si>
    <t xml:space="preserve">Two head-to-head studies disagree</t>
  </si>
  <si>
    <t xml:space="preserve">6, 15, 20</t>
  </si>
  <si>
    <t xml:space="preserve">Quantified explainability</t>
  </si>
  <si>
    <t xml:space="preserve">SHAP/LIME used qualitatively; top features differ between studies</t>
  </si>
  <si>
    <t xml:space="preserve">1, 5, 6, 7, 13</t>
  </si>
  <si>
    <t xml:space="preserve">Resource-aware evaluation on edge hardware</t>
  </si>
  <si>
    <t xml:space="preserve">Memory, energy and edge tests rarely reported</t>
  </si>
  <si>
    <t xml:space="preserve">1, 5, 16, 17</t>
  </si>
  <si>
    <t xml:space="preserve">Concept drift and adversarial robustness</t>
  </si>
  <si>
    <t xml:space="preserve">Few studies test robustness; CICIoT2023 under 5% of robustness corpus</t>
  </si>
  <si>
    <t xml:space="preserve">1, 5, 8, 13</t>
  </si>
  <si>
    <t xml:space="preserve">Privacy beyond data locality in federated IDS</t>
  </si>
  <si>
    <t xml:space="preserve">Differential privacy and secure aggregation rare; federated stage of one preprint not run</t>
  </si>
  <si>
    <t xml:space="preserve">5, 14, 18, 20</t>
  </si>
  <si>
    <t xml:space="preserve">Production and streaming validation</t>
  </si>
  <si>
    <t xml:space="preserve">None of 125 reviewed papers validates in production</t>
  </si>
  <si>
    <t xml:space="preserve">13, 16</t>
  </si>
  <si>
    <t xml:space="preserve">Measured prevention/response</t>
  </si>
  <si>
    <t xml:space="preserve">Prevention claims judged only by classification metrics</t>
  </si>
  <si>
    <t xml:space="preserve">9</t>
  </si>
  <si>
    <t xml:space="preserve">Realistic operational benchmarks</t>
  </si>
  <si>
    <t xml:space="preserve">Real-traffic LITNET gives lowest macro-F1</t>
  </si>
  <si>
    <t xml:space="preserve">15</t>
  </si>
  <si>
    <t xml:space="preserve">Citation</t>
  </si>
  <si>
    <t xml:space="preserve">DOI</t>
  </si>
  <si>
    <t xml:space="preserve">Poltoratskyi, V., &amp; Gavrylenko, S. (2026). The Evolution of Intrusion Detection Systems: A Comprehensive Review of Modern Datasets, Deep Learning Approaches, and Architectural Challenges. Advanced Information Systems, 10(2), 100-116.</t>
  </si>
  <si>
    <t xml:space="preserve">10.20998/2522-9052.2026.2.11</t>
  </si>
  <si>
    <t xml:space="preserve">Rivandi, E., &amp; Oskouei, R. J. (2025). A Novel Approach for Developing Intrusion Detection Systems in Mobile Social Networks. J. Soft Computing and Decision Analytics, 3(1), 158-170.</t>
  </si>
  <si>
    <t xml:space="preserve">10.31181/jscda31202576</t>
  </si>
  <si>
    <t xml:space="preserve">Meena, G., &amp; Indian, A. (2025). IDS-IoT: Intrusion Detection System for the Internet of Things Using Enhanced Long-Short Term Memory. Artificial Intelligence and Applications.</t>
  </si>
  <si>
    <t xml:space="preserve">10.47852/bonviewAIA52025066</t>
  </si>
  <si>
    <t xml:space="preserve">Kwari, M. I., &amp; Rajkumar, N. (2025). An Enhanced Voting Ensemble Model for IoT Intrusion Detection Using the CICIoT2023 Dataset. IGCAI 2025, 67-77.</t>
  </si>
  <si>
    <t xml:space="preserve">10.63169/IGCAI2025.p9</t>
  </si>
  <si>
    <t xml:space="preserve">Salakhutdinov, R. (n.d.). Artificial Intelligence and Deep Learning for Network Intrusion Detection in Internet of Things Environments. Venue not stated.</t>
  </si>
  <si>
    <t xml:space="preserve">Imran, S., Yousaf, M., Shabeer, Z., Sarwar, M., &amp; Zainab, N. (2026). An Explainable AI-Driven Intrusion Detection Framework for IoT Networks Using Deep Learning and Machine Learning Models. J. Computers and Intelligent Systems, 4(2), 99-116.</t>
  </si>
  <si>
    <t xml:space="preserve">Hajjouz, A., &amp; Avksentieva, E. (2024). Optimizing Intrusion Detection for DoS, DDoS, and Mirai Attacks Subtypes Using Hierarchical Feature Selection and CatBoost on the CICIoT2023 Dataset. Data and Metadata, 3, 577.</t>
  </si>
  <si>
    <t xml:space="preserve">10.56294/dm2024.577</t>
  </si>
  <si>
    <t xml:space="preserve">Winanto, E. A., &amp; Idris, M. Y. (2026). Adversarial Robustness of Deep Learning-Based Intrusion Detection Systems: A Systematic Literature Review. IEEE Access, 14.</t>
  </si>
  <si>
    <t xml:space="preserve">10.1109/ACCESS.2026.3733985</t>
  </si>
  <si>
    <t xml:space="preserve">Erskine, S. K. (2025). Real-Time Large-Scale Intrusion Detection and Prevention System (IDPS) CICIoT Dataset Traffic Assessment Based on Deep Learning. Applied System Innovation, 8, 52.</t>
  </si>
  <si>
    <t xml:space="preserve">10.3390/asi8020052</t>
  </si>
  <si>
    <t xml:space="preserve">Diana, L., Dini, P., &amp; Paolini, D. (2025). Overview on Intrusion Detection Systems for Computers Networking Security. Computers, 14, 87.</t>
  </si>
  <si>
    <t xml:space="preserve">10.3390/computers14030087</t>
  </si>
  <si>
    <t xml:space="preserve">Yaras, S., &amp; Dener, M. (2024). IoT-Based Intrusion Detection System Using New Hybrid Deep Learning Algorithm. Electronics, 13, 1053.</t>
  </si>
  <si>
    <t xml:space="preserve">10.3390/electronics13061053</t>
  </si>
  <si>
    <t xml:space="preserve">Mughogho, E. (2025). Enhancing IoT Network Security Through Intrusion Detection Using Machine Learning. MSc research project, National College of Ireland.</t>
  </si>
  <si>
    <t xml:space="preserve">Ahmed, A., Mostafa, R., Qutqut, M. H., &amp; Ragab, N. (2026). A Systematic Literature Review on Machine Learning for Intrusion Detection Systems. Future Internet, 18, 470.</t>
  </si>
  <si>
    <t xml:space="preserve">10.3390/fi18090470</t>
  </si>
  <si>
    <t xml:space="preserve">Bunko, T., Johnstone, M. N., Yang, W., &amp; Scott, B. A. (2026). A survey of privacy-preserving federated learning for intrusion detection systems. Artificial Intelligence Review, 59, 125.</t>
  </si>
  <si>
    <t xml:space="preserve">10.1007/s10462-026-11519-4</t>
  </si>
  <si>
    <t xml:space="preserve">Mondragon, J. C., et al. (2025). Advanced IDS: a comparative study of datasets and machine learning algorithms for network flow-based intrusion detection systems. Applied Intelligence, 55, 608.</t>
  </si>
  <si>
    <t xml:space="preserve">10.1007/s10489-025-06422-4</t>
  </si>
  <si>
    <t xml:space="preserve">Almahaqeri, S. A., et al. (2026). An optimized gradient boosting framework for IoT intrusion detection: a comprehensive evaluation on the CICIoT2023 dataset. Scientific Reports.</t>
  </si>
  <si>
    <t xml:space="preserve">10.1038/s41598-026-47399-5</t>
  </si>
  <si>
    <t xml:space="preserve">Khan, M. Z., et al. (2026). A resource efficient IoT intrusion detection model using hybrid feature selection for edge computing. Scientific Reports.</t>
  </si>
  <si>
    <t xml:space="preserve">10.1038/s41598-026-59156-9</t>
  </si>
  <si>
    <t xml:space="preserve">Mallidi, S. K. R., &amp; Ramisetty, R. R. (2025). Advancements in training and deployment strategies for AI-based intrusion detection systems in IoT: a systematic literature review. Discover Internet of Things, 5, 8.</t>
  </si>
  <si>
    <t xml:space="preserve">10.1007/s43926-025-00099-4</t>
  </si>
  <si>
    <t xml:space="preserve">Hozouri, A., Mirzaei, A., &amp; Effatparvar, M. (2025). A comprehensive survey on intrusion detection systems with advances in machine learning, deep learning and emerging cybersecurity challenges. Discover Artificial Intelligence, 5, 314.</t>
  </si>
  <si>
    <t xml:space="preserve">10.1007/s44163-025-00578-1</t>
  </si>
  <si>
    <t xml:space="preserve">Mishra, S., &amp; Reddy, R. V. S. (2026). Federated Hybrid Deep Learning Framework for IoT Intrusion Detection Using N-BaIoT, CICIoT2023, and BoT-IoT Datasets (preprint). Research Square.</t>
  </si>
  <si>
    <t xml:space="preserve">10.21203/rs.3.rs-10580856/v1</t>
  </si>
  <si>
    <t xml:space="preserve">This study: own deep-learning experiments on CICIoT2023</t>
  </si>
  <si>
    <t xml:space="preserve">Not part of the 20-study corpus: Summary, Studies, Datasets and Gaps counts exclude it. Source: DeepLearning_notebook.ipynb. Blue = value or judgement entered by me; black = formula or label.</t>
  </si>
  <si>
    <t xml:space="preserve">1. Study record (same fields as the Studies sheet)</t>
  </si>
  <si>
    <t xml:space="preserve">Field</t>
  </si>
  <si>
    <t xml:space="preserve">Entry</t>
  </si>
  <si>
    <t xml:space="preserve">Experimental (own work, not in the 20-study corpus)</t>
  </si>
  <si>
    <t xml:space="preserve">Compare plain and regularised MLPs with recurrent (GRU, LSTM) and attention (Transformer) models for 8-class intrusion detection on CICIoT2023.</t>
  </si>
  <si>
    <t xml:space="preserve">CICIoT2023 pre-split train (1,073,851 flows) and test (268,463 flows) files; 39 numeric flow features; 8 classes: Benign, BruteForce, DDoS, DoS, Mirai, Recon, Spoofing, Web-based.</t>
  </si>
  <si>
    <t xml:space="preserve">Data preparation</t>
  </si>
  <si>
    <t xml:space="preserve">Exact duplicates removed from the training data (84,370 rows); balanced to 10,000 flows per class; 80/20 stratified train/validation split; StandardScaler fitted on the training part. Test set used as supplied.</t>
  </si>
  <si>
    <t xml:space="preserve">Seven models: DNN, DNN + Dropout, DNN + L2, a combined regularised DNN, GRU, LSTM and a feature-token Transformer encoder (section 2).</t>
  </si>
  <si>
    <t xml:space="preserve">Evaluation</t>
  </si>
  <si>
    <t xml:space="preserve">Accuracy, macro precision, macro recall, macro-F1, macro specificity, training time and per-class reports on the natural-distribution test set.</t>
  </si>
  <si>
    <t xml:space="preserve">One run per model; GRU and Transformer ran to their epoch limits with validation loss still falling, and the saved LSTM log shows 5 of 20 epochs; no tree-based baseline; one dataset; no inference-latency measurement.</t>
  </si>
  <si>
    <t xml:space="preserve">Earlier version</t>
  </si>
  <si>
    <t xml:space="preserve">The previous notebook version used a CNN model where the GRU now sits and an earlier Transformer configuration. Their results are not recorded here.</t>
  </si>
  <si>
    <t xml:space="preserve">2. Models and results (8 classes; natural-distribution test set of 268,463 flows)</t>
  </si>
  <si>
    <t xml:space="preserve">Model</t>
  </si>
  <si>
    <t xml:space="preserve">Configuration</t>
  </si>
  <si>
    <t xml:space="preserve">Training setup</t>
  </si>
  <si>
    <t xml:space="preserve">Parameters</t>
  </si>
  <si>
    <t xml:space="preserve">Accuracy</t>
  </si>
  <si>
    <t xml:space="preserve">Macro-F1</t>
  </si>
  <si>
    <t xml:space="preserve">Training time (s)</t>
  </si>
  <si>
    <t xml:space="preserve">Accuracy rank</t>
  </si>
  <si>
    <t xml:space="preserve">DNN</t>
  </si>
  <si>
    <t xml:space="preserve">MLP: Dense 128-64-32 (ReLU) and softmax output; Adam.</t>
  </si>
  <si>
    <t xml:space="preserve">20 epochs, batch 256, no callbacks.</t>
  </si>
  <si>
    <t xml:space="preserve">DNN + Dropout</t>
  </si>
  <si>
    <t xml:space="preserve">MLP as above with Dropout 0.30 after the first two dense layers.</t>
  </si>
  <si>
    <t xml:space="preserve">DNN + L2</t>
  </si>
  <si>
    <t xml:space="preserve">MLP as above with L2 (0.001) on the first two dense layers.</t>
  </si>
  <si>
    <t xml:space="preserve">Proposed DNN</t>
  </si>
  <si>
    <t xml:space="preserve">MLP with L2 (0.001), batch normalisation after the first layer and dropout 0.30 / 0.30 / 0.20.</t>
  </si>
  <si>
    <t xml:space="preserve">Up to 20 epochs, early stopping (patience 4) and learning-rate reduction.</t>
  </si>
  <si>
    <t xml:space="preserve">GRU</t>
  </si>
  <si>
    <t xml:space="preserve">Recurrent: the 39 features are fed as 39 time steps of one value. GRU 64 (sequences), Dropout 0.20, GRU 32, Dense 64, Dropout 0.20, softmax. Replaces the CNN model of the earlier version.</t>
  </si>
  <si>
    <t xml:space="preserve">Up to 20 epochs, batch 256, early stopping (patience 5) and learning-rate reduction; ran all 20 epochs.</t>
  </si>
  <si>
    <t xml:space="preserve">LSTM</t>
  </si>
  <si>
    <t xml:space="preserve">Recurrent: same input as the GRU. LSTM 64 (sequences), Dropout 0.30, LSTM 32, Dropout 0.30, Dense 64, softmax.</t>
  </si>
  <si>
    <t xml:space="preserve">Up to 20 epochs, same callbacks as the GRU; the saved log shows 5 epochs.</t>
  </si>
  <si>
    <t xml:space="preserve">Transformer</t>
  </si>
  <si>
    <t xml:space="preserve">Attention: one learnable 64-dimensional token per feature, position embedding and a CLS token; 2 pre-norm encoder blocks, 4 heads, feed-forward 128 (GELU), dropout 0.10; Dense 64 head; AdamW (learning rate 1e-4, weight decay 1e-4).</t>
  </si>
  <si>
    <t xml:space="preserve">Up to 25 epochs, batch 256, early stopping (patience 5) and learning-rate reduction (patience 3); ran all 25 epochs.</t>
  </si>
  <si>
    <t xml:space="preserve">3. Review themes (same 8 themes and 1/0 flags as the Studies sheet)</t>
  </si>
  <si>
    <t xml:space="preserve">Basis for the flag</t>
  </si>
  <si>
    <t xml:space="preserve">Corpus coverage</t>
  </si>
  <si>
    <t xml:space="preserve">This study (1 = covered)</t>
  </si>
  <si>
    <t xml:space="preserve">No tree-based or ensemble model.</t>
  </si>
  <si>
    <t xml:space="preserve">MLP, GRU, LSTM and Transformer models.</t>
  </si>
  <si>
    <t xml:space="preserve">No SHAP, LIME or other explanation method.</t>
  </si>
  <si>
    <t xml:space="preserve">Centralised training only.</t>
  </si>
  <si>
    <t xml:space="preserve">No adversarial or drift testing.</t>
  </si>
  <si>
    <t xml:space="preserve">Balanced 10,000-per-class training sample; per-class and macro metrics on the natural-distribution test set.</t>
  </si>
  <si>
    <t xml:space="preserve">Parameter counts and CPU training time only; no inference latency or memory.</t>
  </si>
  <si>
    <t xml:space="preserve">CICIoT2023 only; no second dataset.</t>
  </si>
  <si>
    <t xml:space="preserve">4. Relation to the research gaps (Gaps sheet)</t>
  </si>
  <si>
    <t xml:space="preserve">Gap</t>
  </si>
  <si>
    <t xml:space="preserve">What this study shows</t>
  </si>
  <si>
    <t xml:space="preserve">Status</t>
  </si>
  <si>
    <t xml:space="preserve">Adds one more setup (8 attack families, 10,000-per-class training sample, natural test set). Accuracy here sits well below the undersampled-test results in the corpus, as the gap describes.</t>
  </si>
  <si>
    <t xml:space="preserve">Illustrates</t>
  </si>
  <si>
    <t xml:space="preserve">Single dataset; no cross-dataset or cross-device test.</t>
  </si>
  <si>
    <t xml:space="preserve">Not addressed</t>
  </si>
  <si>
    <t xml:space="preserve">BruteForce and Web-based stay hardest for every model even with balanced training: on the natural test set precision is low and always below recall (SOTA workbook, Own_Results section 5).</t>
  </si>
  <si>
    <t xml:space="preserve">Deep models only; there is no tree-based baseline on the same split, so this study cannot add to the comparison.</t>
  </si>
  <si>
    <t xml:space="preserve">No explanation method used.</t>
  </si>
  <si>
    <t xml:space="preserve">Parameter counts and CPU training time are reported; no inference latency, memory or edge-device test.</t>
  </si>
  <si>
    <t xml:space="preserve">Partly addresses</t>
  </si>
  <si>
    <t xml:space="preserve">Centralised training.</t>
  </si>
  <si>
    <t xml:space="preserve">Offline evaluation on a fixed test file.</t>
  </si>
  <si>
    <t xml:space="preserve">Detection only; no prevention or response.</t>
  </si>
  <si>
    <t xml:space="preserve">The test set keeps the natural class mix, but it is the benchmark's own held-out file, not real operational traffic.</t>
  </si>
  <si>
    <t xml:space="preserve">Count by status</t>
  </si>
  <si>
    <t xml:space="preserve">Notes</t>
  </si>
  <si>
    <t xml:space="preserve">1. Figures are copied from the notebook output (results table and classification reports). Each model was trained once, on CPU.</t>
  </si>
  <si>
    <t xml:space="preserve">2. Theme flags and gap statuses are my judgement, as on the Studies sheet; edit the blue values and the counts update.</t>
  </si>
  <si>
    <t xml:space="preserve">3. The test set is the benchmark file as supplied; training data were balanced, so accuracy reflects the natural class mix while macro metrics weight all classes equally.</t>
  </si>
</sst>
</file>

<file path=xl/styles.xml><?xml version="1.0" encoding="utf-8"?>
<styleSheet xmlns="http://schemas.openxmlformats.org/spreadsheetml/2006/main">
  <numFmts count="10">
    <numFmt numFmtId="164" formatCode="General"/>
    <numFmt numFmtId="165" formatCode="0.0%"/>
    <numFmt numFmtId="166" formatCode="0.0"/>
    <numFmt numFmtId="167" formatCode="0%"/>
    <numFmt numFmtId="168" formatCode="#,##0"/>
    <numFmt numFmtId="169" formatCode="0.00%"/>
    <numFmt numFmtId="170" formatCode="0"/>
    <numFmt numFmtId="171" formatCode="0.0000"/>
    <numFmt numFmtId="172" formatCode="#,##0.00"/>
    <numFmt numFmtId="173" formatCode="General"/>
  </numFmts>
  <fonts count="11">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0"/>
      <name val="Arial"/>
      <family val="0"/>
      <charset val="1"/>
    </font>
    <font>
      <b val="true"/>
      <sz val="10"/>
      <name val="Arial"/>
      <family val="0"/>
      <charset val="1"/>
    </font>
    <font>
      <b val="true"/>
      <sz val="10"/>
      <color rgb="FFFFFFFF"/>
      <name val="Arial"/>
      <family val="0"/>
      <charset val="1"/>
    </font>
    <font>
      <b val="true"/>
      <sz val="18"/>
      <color rgb="FF000000"/>
      <name val="Calibri"/>
      <family val="2"/>
    </font>
    <font>
      <sz val="10"/>
      <color rgb="FF000000"/>
      <name val="Calibri"/>
      <family val="2"/>
    </font>
    <font>
      <sz val="10"/>
      <color rgb="FF0000FF"/>
      <name val="Arial"/>
      <family val="0"/>
      <charset val="1"/>
    </font>
  </fonts>
  <fills count="3">
    <fill>
      <patternFill patternType="none"/>
    </fill>
    <fill>
      <patternFill patternType="gray125"/>
    </fill>
    <fill>
      <patternFill patternType="solid">
        <fgColor rgb="FF1F3864"/>
        <bgColor rgb="FF33333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bottom" textRotation="0" wrapText="false" indent="0" shrinkToFit="false"/>
      <protection locked="true" hidden="false"/>
    </xf>
    <xf numFmtId="165" fontId="5" fillId="0" borderId="1" xfId="0" applyFont="true" applyBorder="true" applyAlignment="true" applyProtection="false">
      <alignment horizontal="general" vertical="bottom" textRotation="0" wrapText="false" indent="0" shrinkToFit="false"/>
      <protection locked="true" hidden="false"/>
    </xf>
    <xf numFmtId="166" fontId="5" fillId="0" borderId="1" xfId="0" applyFont="true" applyBorder="true" applyAlignment="true" applyProtection="false">
      <alignment horizontal="general" vertical="bottom" textRotation="0" wrapText="false" indent="0" shrinkToFit="false"/>
      <protection locked="true" hidden="false"/>
    </xf>
    <xf numFmtId="167" fontId="5" fillId="0" borderId="1" xfId="0" applyFont="true" applyBorder="tru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center" vertical="top" textRotation="0" wrapText="false" indent="0" shrinkToFit="false"/>
      <protection locked="true" hidden="false"/>
    </xf>
    <xf numFmtId="168" fontId="5" fillId="0" borderId="1" xfId="0" applyFont="true" applyBorder="true" applyAlignment="tru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general" vertical="bottom" textRotation="0" wrapText="false" indent="0" shrinkToFit="false"/>
      <protection locked="true" hidden="false"/>
    </xf>
    <xf numFmtId="169" fontId="5" fillId="0" borderId="1" xfId="0" applyFont="true" applyBorder="true" applyAlignment="true" applyProtection="false">
      <alignment horizontal="general" vertical="bottom" textRotation="0" wrapText="false" indent="0" shrinkToFit="false"/>
      <protection locked="true" hidden="false"/>
    </xf>
    <xf numFmtId="170" fontId="10" fillId="0" borderId="1" xfId="0" applyFont="true" applyBorder="true" applyAlignment="true" applyProtection="false">
      <alignment horizontal="general"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8" fontId="10" fillId="0" borderId="1" xfId="0" applyFont="true" applyBorder="true" applyAlignment="true" applyProtection="false">
      <alignment horizontal="general" vertical="top" textRotation="0" wrapText="true" indent="0" shrinkToFit="false"/>
      <protection locked="true" hidden="false"/>
    </xf>
    <xf numFmtId="169" fontId="10" fillId="0" borderId="1" xfId="0" applyFont="true" applyBorder="true" applyAlignment="true" applyProtection="false">
      <alignment horizontal="general" vertical="top" textRotation="0" wrapText="true" indent="0" shrinkToFit="false"/>
      <protection locked="true" hidden="false"/>
    </xf>
    <xf numFmtId="171" fontId="10" fillId="0" borderId="1" xfId="0" applyFont="true" applyBorder="true" applyAlignment="true" applyProtection="false">
      <alignment horizontal="general" vertical="top" textRotation="0" wrapText="true" indent="0" shrinkToFit="false"/>
      <protection locked="true" hidden="false"/>
    </xf>
    <xf numFmtId="172" fontId="10" fillId="0" borderId="1" xfId="0" applyFont="true" applyBorder="true" applyAlignment="true" applyProtection="false">
      <alignment horizontal="general" vertical="top" textRotation="0" wrapText="true" indent="0" shrinkToFit="false"/>
      <protection locked="true" hidden="false"/>
    </xf>
    <xf numFmtId="170" fontId="5" fillId="0"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center"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73" fontId="6" fillId="0" borderId="1" xfId="0" applyFont="true" applyBorder="true" applyAlignment="true" applyProtection="fals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0000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78787"/>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4F81BD"/>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Studies covering each theme</a:t>
            </a:r>
          </a:p>
        </c:rich>
      </c:tx>
      <c:overlay val="0"/>
      <c:spPr>
        <a:noFill/>
        <a:ln w="0">
          <a:noFill/>
        </a:ln>
      </c:spPr>
    </c:title>
    <c:autoTitleDeleted val="0"/>
    <c:plotArea>
      <c:barChart>
        <c:barDir val="bar"/>
        <c:grouping val="clustered"/>
        <c:varyColors val="0"/>
        <c:ser>
          <c:idx val="0"/>
          <c:order val="0"/>
          <c:tx>
            <c:strRef>
              <c:f>Summary!B21</c:f>
              <c:strCache>
                <c:ptCount val="1"/>
                <c:pt idx="0">
                  <c:v>Studies covering it</c:v>
                </c:pt>
              </c:strCache>
            </c:strRef>
          </c:tx>
          <c:spPr>
            <a:solidFill>
              <a:srgbClr val="4f81bd"/>
            </a:solidFill>
            <a:ln w="0">
              <a:no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Summary!$A$22:$A$29</c:f>
              <c:strCache>
                <c:ptCount val="8"/>
                <c:pt idx="0">
                  <c:v>ML / ensembles</c:v>
                </c:pt>
                <c:pt idx="1">
                  <c:v>Deep learning</c:v>
                </c:pt>
                <c:pt idx="2">
                  <c:v>Explainable AI</c:v>
                </c:pt>
                <c:pt idx="3">
                  <c:v>Federated / privacy</c:v>
                </c:pt>
                <c:pt idx="4">
                  <c:v>Adversarial robustness</c:v>
                </c:pt>
                <c:pt idx="5">
                  <c:v>Class imbalance</c:v>
                </c:pt>
                <c:pt idx="6">
                  <c:v>Edge / efficiency</c:v>
                </c:pt>
                <c:pt idx="7">
                  <c:v>Multiple datasets / benchmarking</c:v>
                </c:pt>
              </c:strCache>
            </c:strRef>
          </c:cat>
          <c:val>
            <c:numRef>
              <c:f>Summary!$B$22:$B$29</c:f>
              <c:numCache>
                <c:formatCode>General</c:formatCode>
                <c:ptCount val="8"/>
                <c:pt idx="0">
                  <c:v>17</c:v>
                </c:pt>
                <c:pt idx="1">
                  <c:v>12</c:v>
                </c:pt>
                <c:pt idx="2">
                  <c:v>5</c:v>
                </c:pt>
                <c:pt idx="3">
                  <c:v>5</c:v>
                </c:pt>
                <c:pt idx="4">
                  <c:v>5</c:v>
                </c:pt>
                <c:pt idx="5">
                  <c:v>10</c:v>
                </c:pt>
                <c:pt idx="6">
                  <c:v>7</c:v>
                </c:pt>
                <c:pt idx="7">
                  <c:v>13</c:v>
                </c:pt>
              </c:numCache>
            </c:numRef>
          </c:val>
        </c:ser>
        <c:gapWidth val="150"/>
        <c:overlap val="0"/>
        <c:axId val="20629967"/>
        <c:axId val="50640732"/>
      </c:barChart>
      <c:catAx>
        <c:axId val="20629967"/>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0640732"/>
        <c:crosses val="autoZero"/>
        <c:auto val="1"/>
        <c:lblAlgn val="ctr"/>
        <c:lblOffset val="100"/>
        <c:noMultiLvlLbl val="0"/>
      </c:catAx>
      <c:valAx>
        <c:axId val="50640732"/>
        <c:scaling>
          <c:orientation val="minMax"/>
        </c:scaling>
        <c:delete val="0"/>
        <c:axPos val="l"/>
        <c:majorGridlines>
          <c:spPr>
            <a:ln w="9360">
              <a:solidFill>
                <a:srgbClr val="878787"/>
              </a:solidFill>
              <a:round/>
            </a:ln>
          </c:spPr>
        </c:majorGridlines>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0629967"/>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Studies by publication year</a:t>
            </a:r>
          </a:p>
        </c:rich>
      </c:tx>
      <c:overlay val="0"/>
      <c:spPr>
        <a:noFill/>
        <a:ln w="0">
          <a:noFill/>
        </a:ln>
      </c:spPr>
    </c:title>
    <c:autoTitleDeleted val="0"/>
    <c:plotArea>
      <c:barChart>
        <c:barDir val="col"/>
        <c:grouping val="clustered"/>
        <c:varyColors val="0"/>
        <c:ser>
          <c:idx val="0"/>
          <c:order val="0"/>
          <c:tx>
            <c:strRef>
              <c:f>Summary!B32</c:f>
              <c:strCache>
                <c:ptCount val="1"/>
                <c:pt idx="0">
                  <c:v>Studies</c:v>
                </c:pt>
              </c:strCache>
            </c:strRef>
          </c:tx>
          <c:spPr>
            <a:solidFill>
              <a:srgbClr val="4f81bd"/>
            </a:solidFill>
            <a:ln w="0">
              <a:no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Summary!$A$33:$A$35</c:f>
              <c:strCache>
                <c:ptCount val="3"/>
                <c:pt idx="0">
                  <c:v>2024</c:v>
                </c:pt>
                <c:pt idx="1">
                  <c:v>2025</c:v>
                </c:pt>
                <c:pt idx="2">
                  <c:v>2026</c:v>
                </c:pt>
              </c:strCache>
            </c:strRef>
          </c:cat>
          <c:val>
            <c:numRef>
              <c:f>Summary!$B$33:$B$35</c:f>
              <c:numCache>
                <c:formatCode>General</c:formatCode>
                <c:ptCount val="3"/>
                <c:pt idx="0">
                  <c:v>2</c:v>
                </c:pt>
                <c:pt idx="1">
                  <c:v>9</c:v>
                </c:pt>
                <c:pt idx="2">
                  <c:v>8</c:v>
                </c:pt>
              </c:numCache>
            </c:numRef>
          </c:val>
        </c:ser>
        <c:gapWidth val="150"/>
        <c:overlap val="0"/>
        <c:axId val="18855736"/>
        <c:axId val="54432914"/>
      </c:barChart>
      <c:catAx>
        <c:axId val="18855736"/>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4432914"/>
        <c:crosses val="autoZero"/>
        <c:auto val="1"/>
        <c:lblAlgn val="ctr"/>
        <c:lblOffset val="100"/>
        <c:noMultiLvlLbl val="0"/>
      </c:catAx>
      <c:valAx>
        <c:axId val="54432914"/>
        <c:scaling>
          <c:orientation val="minMax"/>
        </c:scaling>
        <c:delete val="0"/>
        <c:axPos val="l"/>
        <c:majorGridlines>
          <c:spPr>
            <a:ln w="9360">
              <a:solidFill>
                <a:srgbClr val="878787"/>
              </a:solidFill>
              <a:round/>
            </a:ln>
          </c:spPr>
        </c:majorGridlines>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8855736"/>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0</xdr:colOff>
      <xdr:row>1</xdr:row>
      <xdr:rowOff>160560</xdr:rowOff>
    </xdr:from>
    <xdr:to>
      <xdr:col>14</xdr:col>
      <xdr:colOff>363960</xdr:colOff>
      <xdr:row>18</xdr:row>
      <xdr:rowOff>160920</xdr:rowOff>
    </xdr:to>
    <xdr:graphicFrame>
      <xdr:nvGraphicFramePr>
        <xdr:cNvPr id="0" name="Chart 1"/>
        <xdr:cNvGraphicFramePr/>
      </xdr:nvGraphicFramePr>
      <xdr:xfrm>
        <a:off x="6532200" y="379800"/>
        <a:ext cx="6478920" cy="32385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0</xdr:colOff>
      <xdr:row>21</xdr:row>
      <xdr:rowOff>160920</xdr:rowOff>
    </xdr:from>
    <xdr:to>
      <xdr:col>11</xdr:col>
      <xdr:colOff>38160</xdr:colOff>
      <xdr:row>35</xdr:row>
      <xdr:rowOff>12600</xdr:rowOff>
    </xdr:to>
    <xdr:graphicFrame>
      <xdr:nvGraphicFramePr>
        <xdr:cNvPr id="1" name="Chart 2"/>
        <xdr:cNvGraphicFramePr/>
      </xdr:nvGraphicFramePr>
      <xdr:xfrm>
        <a:off x="6532200" y="4190040"/>
        <a:ext cx="4318920" cy="251856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25"/>
  </cols>
  <sheetData>
    <row r="1" customFormat="false" ht="17.25" hidden="false" customHeight="true" outlineLevel="0" collapsed="false">
      <c r="A1" s="2" t="s">
        <v>0</v>
      </c>
    </row>
    <row r="3" customFormat="false" ht="15" hidden="false" customHeight="true" outlineLevel="0" collapsed="false">
      <c r="A3" s="3" t="s">
        <v>1</v>
      </c>
    </row>
    <row r="4" customFormat="false" ht="15" hidden="false" customHeight="true" outlineLevel="0" collapsed="false">
      <c r="A4" s="4" t="s">
        <v>2</v>
      </c>
    </row>
    <row r="5" customFormat="false" ht="15" hidden="false" customHeight="true" outlineLevel="0" collapsed="false">
      <c r="A5" s="3"/>
    </row>
    <row r="6" customFormat="false" ht="15" hidden="false" customHeight="true" outlineLevel="0" collapsed="false">
      <c r="A6" s="5" t="s">
        <v>3</v>
      </c>
    </row>
    <row r="7" customFormat="false" ht="15" hidden="false" customHeight="true" outlineLevel="0" collapsed="false">
      <c r="A7" s="3" t="s">
        <v>4</v>
      </c>
    </row>
    <row r="8" customFormat="false" ht="15" hidden="false" customHeight="true" outlineLevel="0" collapsed="false">
      <c r="A8" s="3" t="s">
        <v>5</v>
      </c>
    </row>
    <row r="9" customFormat="false" ht="15" hidden="false" customHeight="true" outlineLevel="0" collapsed="false">
      <c r="A9" s="3" t="s">
        <v>6</v>
      </c>
    </row>
    <row r="10" customFormat="false" ht="15" hidden="false" customHeight="true" outlineLevel="0" collapsed="false">
      <c r="A10" s="3" t="s">
        <v>7</v>
      </c>
    </row>
    <row r="11" customFormat="false" ht="15" hidden="false" customHeight="true" outlineLevel="0" collapsed="false">
      <c r="A11" s="3" t="s">
        <v>8</v>
      </c>
    </row>
    <row r="12" customFormat="false" ht="15" hidden="false" customHeight="true" outlineLevel="0" collapsed="false">
      <c r="A12" s="3" t="s">
        <v>9</v>
      </c>
    </row>
    <row r="13" customFormat="false" ht="15" hidden="false" customHeight="true" outlineLevel="0" collapsed="false">
      <c r="A13" s="4" t="s">
        <v>10</v>
      </c>
    </row>
    <row r="14" customFormat="false" ht="15" hidden="false" customHeight="true" outlineLevel="0" collapsed="false">
      <c r="A14" s="3"/>
    </row>
    <row r="15" customFormat="false" ht="15" hidden="false" customHeight="true" outlineLevel="0" collapsed="false">
      <c r="A15" s="3" t="s">
        <v>11</v>
      </c>
    </row>
    <row r="16" customFormat="false" ht="15" hidden="false" customHeight="true" outlineLevel="0" collapsed="false">
      <c r="A16" s="3"/>
    </row>
    <row r="17" customFormat="false" ht="15" hidden="false" customHeight="true" outlineLevel="0" collapsed="false">
      <c r="A17" s="5" t="s">
        <v>12</v>
      </c>
    </row>
    <row r="18" customFormat="false" ht="15" hidden="false" customHeight="true" outlineLevel="0" collapsed="false">
      <c r="A18" s="3" t="s">
        <v>13</v>
      </c>
    </row>
    <row r="19" customFormat="false" ht="15" hidden="false" customHeight="true" outlineLevel="0" collapsed="false">
      <c r="A19" s="3" t="s">
        <v>14</v>
      </c>
    </row>
    <row r="20" customFormat="false" ht="15" hidden="false" customHeight="true" outlineLevel="0" collapsed="false">
      <c r="A20" s="3" t="s">
        <v>15</v>
      </c>
    </row>
    <row r="21" customFormat="false" ht="15" hidden="false" customHeight="true" outlineLevel="0" collapsed="false">
      <c r="A21" s="3" t="s">
        <v>16</v>
      </c>
    </row>
    <row r="22" customFormat="false" ht="15" hidden="false" customHeight="true" outlineLevel="0" collapsed="false">
      <c r="A22" s="3" t="s">
        <v>17</v>
      </c>
    </row>
    <row r="23" customFormat="false" ht="15" hidden="false" customHeight="false" outlineLevel="0" collapsed="false">
      <c r="A23" s="3" t="s">
        <v>18</v>
      </c>
    </row>
    <row r="24" customFormat="false" ht="15" hidden="false" customHeight="false" outlineLevel="0" collapsed="false">
      <c r="A24" s="3" t="s">
        <v>19</v>
      </c>
    </row>
    <row r="25" customFormat="false" ht="15" hidden="false" customHeight="false" outlineLevel="0" collapsed="false">
      <c r="A25" s="4" t="s">
        <v>20</v>
      </c>
    </row>
    <row r="26" customFormat="false" ht="15" hidden="false" customHeight="false" outlineLevel="0" collapsed="false">
      <c r="A26" s="4" t="s">
        <v>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8"/>
    <col collapsed="false" customWidth="true" hidden="false" outlineLevel="0" max="2" min="2" style="1" width="20"/>
    <col collapsed="false" customWidth="true" hidden="false" outlineLevel="0" max="3" min="3" style="1" width="16"/>
  </cols>
  <sheetData>
    <row r="1" customFormat="false" ht="17.25" hidden="false" customHeight="true" outlineLevel="0" collapsed="false">
      <c r="A1" s="2" t="s">
        <v>22</v>
      </c>
    </row>
    <row r="3" customFormat="false" ht="15" hidden="false" customHeight="true" outlineLevel="0" collapsed="false">
      <c r="A3" s="6" t="s">
        <v>23</v>
      </c>
      <c r="B3" s="6" t="s">
        <v>24</v>
      </c>
    </row>
    <row r="4" customFormat="false" ht="15" hidden="false" customHeight="true" outlineLevel="0" collapsed="false">
      <c r="A4" s="7" t="s">
        <v>25</v>
      </c>
      <c r="B4" s="7" t="n">
        <f aca="false">COUNTA(Studies!B2:B21)</f>
        <v>20</v>
      </c>
    </row>
    <row r="5" customFormat="false" ht="15" hidden="false" customHeight="true" outlineLevel="0" collapsed="false">
      <c r="A5" s="7" t="s">
        <v>26</v>
      </c>
      <c r="B5" s="7" t="n">
        <f aca="false">COUNTIF(Studies!F2:F21,"Review")+COUNTIF(Studies!F2:F21,"Survey")+COUNTIF(Studies!F2:F21,"Systematic review")</f>
        <v>8</v>
      </c>
    </row>
    <row r="6" customFormat="false" ht="15" hidden="false" customHeight="true" outlineLevel="0" collapsed="false">
      <c r="A6" s="7" t="s">
        <v>27</v>
      </c>
      <c r="B6" s="7" t="n">
        <f aca="false">COUNTIF(Studies!F2:F21,"Experimental")</f>
        <v>11</v>
      </c>
    </row>
    <row r="7" customFormat="false" ht="15" hidden="false" customHeight="true" outlineLevel="0" collapsed="false">
      <c r="A7" s="7" t="s">
        <v>28</v>
      </c>
      <c r="B7" s="7" t="n">
        <f aca="false">COUNTIF(Studies!F2:F21,"Benchmark")</f>
        <v>1</v>
      </c>
    </row>
    <row r="8" customFormat="false" ht="15" hidden="false" customHeight="true" outlineLevel="0" collapsed="false">
      <c r="A8" s="7" t="s">
        <v>29</v>
      </c>
      <c r="B8" s="7" t="n">
        <f aca="false">COUNTIF(Studies!C2:C21,2024)</f>
        <v>2</v>
      </c>
    </row>
    <row r="9" customFormat="false" ht="15" hidden="false" customHeight="true" outlineLevel="0" collapsed="false">
      <c r="A9" s="7" t="s">
        <v>30</v>
      </c>
      <c r="B9" s="7" t="n">
        <f aca="false">COUNTIF(Studies!C2:C21,2025)</f>
        <v>9</v>
      </c>
    </row>
    <row r="10" customFormat="false" ht="15" hidden="false" customHeight="true" outlineLevel="0" collapsed="false">
      <c r="A10" s="7" t="s">
        <v>31</v>
      </c>
      <c r="B10" s="7" t="n">
        <f aca="false">COUNTIF(Studies!C2:C21,2026)</f>
        <v>8</v>
      </c>
    </row>
    <row r="11" customFormat="false" ht="15" hidden="false" customHeight="true" outlineLevel="0" collapsed="false">
      <c r="A11" s="7" t="s">
        <v>32</v>
      </c>
      <c r="B11" s="7" t="n">
        <f aca="false">COUNTIF(Studies!C2:C21,"n.d.")</f>
        <v>1</v>
      </c>
    </row>
    <row r="12" customFormat="false" ht="15" hidden="false" customHeight="true" outlineLevel="0" collapsed="false">
      <c r="A12" s="7" t="s">
        <v>33</v>
      </c>
      <c r="B12" s="7" t="n">
        <f aca="false">COUNTIF(Studies!G2:G21,"Peer-reviewed journal")</f>
        <v>16</v>
      </c>
    </row>
    <row r="13" customFormat="false" ht="15" hidden="false" customHeight="true" outlineLevel="0" collapsed="false">
      <c r="A13" s="7" t="s">
        <v>34</v>
      </c>
      <c r="B13" s="7" t="n">
        <f aca="false">B4-B12</f>
        <v>4</v>
      </c>
    </row>
    <row r="14" customFormat="false" ht="15" hidden="false" customHeight="true" outlineLevel="0" collapsed="false">
      <c r="A14" s="7" t="s">
        <v>35</v>
      </c>
      <c r="B14" s="7" t="n">
        <f aca="false">COUNTIFS(Studies!F2:F21,"Experimental",Studies!L2:L21,"Yes")</f>
        <v>10</v>
      </c>
    </row>
    <row r="15" customFormat="false" ht="15" hidden="false" customHeight="true" outlineLevel="0" collapsed="false">
      <c r="A15" s="7" t="s">
        <v>36</v>
      </c>
      <c r="B15" s="8" t="n">
        <f aca="false">B14/B6</f>
        <v>0.909090909090909</v>
      </c>
    </row>
    <row r="16" customFormat="false" ht="15" hidden="false" customHeight="true" outlineLevel="0" collapsed="false">
      <c r="A16" s="7" t="s">
        <v>37</v>
      </c>
      <c r="B16" s="9" t="n">
        <f aca="false">AVERAGE(Studies!U2:U21)</f>
        <v>3.7</v>
      </c>
    </row>
    <row r="17" customFormat="false" ht="15" hidden="false" customHeight="true" outlineLevel="0" collapsed="false">
      <c r="A17" s="7" t="s">
        <v>38</v>
      </c>
      <c r="B17" s="7" t="n">
        <f aca="false">COUNTA(Gaps!B2:B12)</f>
        <v>11</v>
      </c>
    </row>
    <row r="20" customFormat="false" ht="15" hidden="false" customHeight="true" outlineLevel="0" collapsed="false">
      <c r="A20" s="5" t="s">
        <v>39</v>
      </c>
    </row>
    <row r="21" customFormat="false" ht="15" hidden="false" customHeight="true" outlineLevel="0" collapsed="false">
      <c r="A21" s="6" t="s">
        <v>40</v>
      </c>
      <c r="B21" s="6" t="s">
        <v>41</v>
      </c>
      <c r="C21" s="6" t="s">
        <v>42</v>
      </c>
    </row>
    <row r="22" customFormat="false" ht="15" hidden="false" customHeight="true" outlineLevel="0" collapsed="false">
      <c r="A22" s="7" t="s">
        <v>43</v>
      </c>
      <c r="B22" s="7" t="n">
        <f aca="false">SUM(Studies!M2:M21)</f>
        <v>17</v>
      </c>
      <c r="C22" s="10" t="n">
        <f aca="false">B22/$B$4</f>
        <v>0.85</v>
      </c>
    </row>
    <row r="23" customFormat="false" ht="15" hidden="false" customHeight="true" outlineLevel="0" collapsed="false">
      <c r="A23" s="7" t="s">
        <v>44</v>
      </c>
      <c r="B23" s="7" t="n">
        <f aca="false">SUM(Studies!N2:N21)</f>
        <v>12</v>
      </c>
      <c r="C23" s="10" t="n">
        <f aca="false">B23/$B$4</f>
        <v>0.6</v>
      </c>
    </row>
    <row r="24" customFormat="false" ht="15" hidden="false" customHeight="true" outlineLevel="0" collapsed="false">
      <c r="A24" s="7" t="s">
        <v>45</v>
      </c>
      <c r="B24" s="7" t="n">
        <f aca="false">SUM(Studies!O2:O21)</f>
        <v>5</v>
      </c>
      <c r="C24" s="10" t="n">
        <f aca="false">B24/$B$4</f>
        <v>0.25</v>
      </c>
    </row>
    <row r="25" customFormat="false" ht="15" hidden="false" customHeight="true" outlineLevel="0" collapsed="false">
      <c r="A25" s="7" t="s">
        <v>46</v>
      </c>
      <c r="B25" s="7" t="n">
        <f aca="false">SUM(Studies!P2:P21)</f>
        <v>5</v>
      </c>
      <c r="C25" s="10" t="n">
        <f aca="false">B25/$B$4</f>
        <v>0.25</v>
      </c>
    </row>
    <row r="26" customFormat="false" ht="15" hidden="false" customHeight="true" outlineLevel="0" collapsed="false">
      <c r="A26" s="7" t="s">
        <v>47</v>
      </c>
      <c r="B26" s="7" t="n">
        <f aca="false">SUM(Studies!Q2:Q21)</f>
        <v>5</v>
      </c>
      <c r="C26" s="10" t="n">
        <f aca="false">B26/$B$4</f>
        <v>0.25</v>
      </c>
    </row>
    <row r="27" customFormat="false" ht="15" hidden="false" customHeight="true" outlineLevel="0" collapsed="false">
      <c r="A27" s="7" t="s">
        <v>48</v>
      </c>
      <c r="B27" s="7" t="n">
        <f aca="false">SUM(Studies!R2:R21)</f>
        <v>10</v>
      </c>
      <c r="C27" s="10" t="n">
        <f aca="false">B27/$B$4</f>
        <v>0.5</v>
      </c>
    </row>
    <row r="28" customFormat="false" ht="15" hidden="false" customHeight="true" outlineLevel="0" collapsed="false">
      <c r="A28" s="7" t="s">
        <v>49</v>
      </c>
      <c r="B28" s="7" t="n">
        <f aca="false">SUM(Studies!S2:S21)</f>
        <v>7</v>
      </c>
      <c r="C28" s="10" t="n">
        <f aca="false">B28/$B$4</f>
        <v>0.35</v>
      </c>
    </row>
    <row r="29" customFormat="false" ht="15" hidden="false" customHeight="true" outlineLevel="0" collapsed="false">
      <c r="A29" s="7" t="s">
        <v>50</v>
      </c>
      <c r="B29" s="7" t="n">
        <f aca="false">SUM(Studies!T2:T21)</f>
        <v>13</v>
      </c>
      <c r="C29" s="10" t="n">
        <f aca="false">B29/$B$4</f>
        <v>0.65</v>
      </c>
    </row>
    <row r="31" customFormat="false" ht="15" hidden="false" customHeight="true" outlineLevel="0" collapsed="false">
      <c r="A31" s="5" t="s">
        <v>51</v>
      </c>
    </row>
    <row r="32" customFormat="false" ht="15" hidden="false" customHeight="true" outlineLevel="0" collapsed="false">
      <c r="A32" s="6" t="s">
        <v>52</v>
      </c>
      <c r="B32" s="6" t="s">
        <v>53</v>
      </c>
    </row>
    <row r="33" customFormat="false" ht="15" hidden="false" customHeight="true" outlineLevel="0" collapsed="false">
      <c r="A33" s="7" t="s">
        <v>54</v>
      </c>
      <c r="B33" s="7" t="n">
        <f aca="false">B8</f>
        <v>2</v>
      </c>
    </row>
    <row r="34" customFormat="false" ht="15" hidden="false" customHeight="true" outlineLevel="0" collapsed="false">
      <c r="A34" s="7" t="s">
        <v>55</v>
      </c>
      <c r="B34" s="7" t="n">
        <f aca="false">B9</f>
        <v>9</v>
      </c>
    </row>
    <row r="35" customFormat="false" ht="15" hidden="false" customHeight="true" outlineLevel="0" collapsed="false">
      <c r="A35" s="7" t="s">
        <v>56</v>
      </c>
      <c r="B35" s="7" t="n">
        <f aca="false">B10</f>
        <v>8</v>
      </c>
    </row>
    <row r="37" customFormat="false" ht="15" hidden="false" customHeight="false" outlineLevel="0" collapsed="false">
      <c r="A37" s="4" t="s">
        <v>57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26"/>
    <col collapsed="false" customWidth="true" hidden="false" outlineLevel="0" max="3" min="3" style="1" width="7"/>
    <col collapsed="false" customWidth="true" hidden="false" outlineLevel="0" max="4" min="4" style="1" width="38"/>
    <col collapsed="false" customWidth="true" hidden="false" outlineLevel="0" max="6" min="5" style="1" width="60"/>
    <col collapsed="false" customWidth="true" hidden="false" outlineLevel="0" max="7" min="7" style="1" width="44"/>
  </cols>
  <sheetData>
    <row r="1" customFormat="false" ht="15" hidden="false" customHeight="true" outlineLevel="0" collapsed="false">
      <c r="A1" s="6" t="s">
        <v>58</v>
      </c>
      <c r="B1" s="6" t="s">
        <v>59</v>
      </c>
      <c r="C1" s="6" t="s">
        <v>52</v>
      </c>
      <c r="D1" s="6" t="s">
        <v>60</v>
      </c>
      <c r="E1" s="6" t="s">
        <v>61</v>
      </c>
      <c r="F1" s="6" t="s">
        <v>62</v>
      </c>
      <c r="G1" s="6" t="s">
        <v>63</v>
      </c>
    </row>
    <row r="2" customFormat="false" ht="45.75" hidden="false" customHeight="true" outlineLevel="0" collapsed="false">
      <c r="A2" s="11" t="n">
        <v>1</v>
      </c>
      <c r="B2" s="11" t="s">
        <v>64</v>
      </c>
      <c r="C2" s="11" t="n">
        <v>2026</v>
      </c>
      <c r="D2" s="12" t="s">
        <v>65</v>
      </c>
      <c r="E2" s="12" t="s">
        <v>66</v>
      </c>
      <c r="F2" s="12" t="s">
        <v>67</v>
      </c>
      <c r="G2" s="12" t="s">
        <v>68</v>
      </c>
    </row>
    <row r="3" customFormat="false" ht="45.75" hidden="false" customHeight="true" outlineLevel="0" collapsed="false">
      <c r="A3" s="11" t="n">
        <v>2</v>
      </c>
      <c r="B3" s="11" t="s">
        <v>69</v>
      </c>
      <c r="C3" s="11" t="n">
        <v>2025</v>
      </c>
      <c r="D3" s="12" t="s">
        <v>70</v>
      </c>
      <c r="E3" s="12" t="s">
        <v>71</v>
      </c>
      <c r="F3" s="12" t="s">
        <v>72</v>
      </c>
      <c r="G3" s="12" t="s">
        <v>73</v>
      </c>
    </row>
    <row r="4" customFormat="false" ht="34.5" hidden="false" customHeight="true" outlineLevel="0" collapsed="false">
      <c r="A4" s="11" t="n">
        <v>3</v>
      </c>
      <c r="B4" s="11" t="s">
        <v>74</v>
      </c>
      <c r="C4" s="11" t="n">
        <v>2025</v>
      </c>
      <c r="D4" s="12" t="s">
        <v>75</v>
      </c>
      <c r="E4" s="12" t="s">
        <v>76</v>
      </c>
      <c r="F4" s="12" t="s">
        <v>77</v>
      </c>
      <c r="G4" s="12" t="s">
        <v>78</v>
      </c>
    </row>
    <row r="5" customFormat="false" ht="23.25" hidden="false" customHeight="true" outlineLevel="0" collapsed="false">
      <c r="A5" s="11" t="n">
        <v>4</v>
      </c>
      <c r="B5" s="11" t="s">
        <v>79</v>
      </c>
      <c r="C5" s="11" t="n">
        <v>2025</v>
      </c>
      <c r="D5" s="12" t="s">
        <v>80</v>
      </c>
      <c r="E5" s="12" t="s">
        <v>81</v>
      </c>
      <c r="F5" s="12" t="s">
        <v>82</v>
      </c>
      <c r="G5" s="12" t="s">
        <v>83</v>
      </c>
    </row>
    <row r="6" customFormat="false" ht="34.5" hidden="false" customHeight="true" outlineLevel="0" collapsed="false">
      <c r="A6" s="11" t="n">
        <v>5</v>
      </c>
      <c r="B6" s="11" t="s">
        <v>84</v>
      </c>
      <c r="C6" s="11" t="s">
        <v>85</v>
      </c>
      <c r="D6" s="12" t="s">
        <v>86</v>
      </c>
      <c r="E6" s="12" t="s">
        <v>87</v>
      </c>
      <c r="F6" s="12" t="s">
        <v>88</v>
      </c>
      <c r="G6" s="12" t="s">
        <v>89</v>
      </c>
    </row>
    <row r="7" customFormat="false" ht="34.5" hidden="false" customHeight="true" outlineLevel="0" collapsed="false">
      <c r="A7" s="11" t="n">
        <v>6</v>
      </c>
      <c r="B7" s="11" t="s">
        <v>90</v>
      </c>
      <c r="C7" s="11" t="n">
        <v>2026</v>
      </c>
      <c r="D7" s="12" t="s">
        <v>91</v>
      </c>
      <c r="E7" s="12" t="s">
        <v>92</v>
      </c>
      <c r="F7" s="12" t="s">
        <v>93</v>
      </c>
      <c r="G7" s="12" t="s">
        <v>94</v>
      </c>
    </row>
    <row r="8" customFormat="false" ht="23.25" hidden="false" customHeight="true" outlineLevel="0" collapsed="false">
      <c r="A8" s="11" t="n">
        <v>7</v>
      </c>
      <c r="B8" s="11" t="s">
        <v>95</v>
      </c>
      <c r="C8" s="11" t="n">
        <v>2024</v>
      </c>
      <c r="D8" s="12" t="s">
        <v>96</v>
      </c>
      <c r="E8" s="12" t="s">
        <v>97</v>
      </c>
      <c r="F8" s="12" t="s">
        <v>98</v>
      </c>
      <c r="G8" s="12" t="s">
        <v>99</v>
      </c>
    </row>
    <row r="9" customFormat="false" ht="23.25" hidden="false" customHeight="true" outlineLevel="0" collapsed="false">
      <c r="A9" s="11" t="n">
        <v>8</v>
      </c>
      <c r="B9" s="11" t="s">
        <v>100</v>
      </c>
      <c r="C9" s="11" t="n">
        <v>2026</v>
      </c>
      <c r="D9" s="12" t="s">
        <v>101</v>
      </c>
      <c r="E9" s="12" t="s">
        <v>102</v>
      </c>
      <c r="F9" s="12" t="s">
        <v>103</v>
      </c>
      <c r="G9" s="12" t="s">
        <v>104</v>
      </c>
    </row>
    <row r="10" customFormat="false" ht="23.25" hidden="false" customHeight="true" outlineLevel="0" collapsed="false">
      <c r="A10" s="11" t="n">
        <v>9</v>
      </c>
      <c r="B10" s="11" t="s">
        <v>105</v>
      </c>
      <c r="C10" s="11" t="n">
        <v>2025</v>
      </c>
      <c r="D10" s="12" t="s">
        <v>106</v>
      </c>
      <c r="E10" s="12" t="s">
        <v>107</v>
      </c>
      <c r="F10" s="12" t="s">
        <v>108</v>
      </c>
      <c r="G10" s="12" t="s">
        <v>109</v>
      </c>
    </row>
    <row r="11" customFormat="false" ht="23.25" hidden="false" customHeight="true" outlineLevel="0" collapsed="false">
      <c r="A11" s="11" t="n">
        <v>10</v>
      </c>
      <c r="B11" s="11" t="s">
        <v>110</v>
      </c>
      <c r="C11" s="11" t="n">
        <v>2025</v>
      </c>
      <c r="D11" s="12" t="s">
        <v>111</v>
      </c>
      <c r="E11" s="12" t="s">
        <v>112</v>
      </c>
      <c r="F11" s="12" t="s">
        <v>113</v>
      </c>
      <c r="G11" s="12" t="s">
        <v>114</v>
      </c>
    </row>
    <row r="12" customFormat="false" ht="23.25" hidden="false" customHeight="true" outlineLevel="0" collapsed="false">
      <c r="A12" s="11" t="n">
        <v>11</v>
      </c>
      <c r="B12" s="11" t="s">
        <v>115</v>
      </c>
      <c r="C12" s="11" t="n">
        <v>2024</v>
      </c>
      <c r="D12" s="12" t="s">
        <v>116</v>
      </c>
      <c r="E12" s="12" t="s">
        <v>117</v>
      </c>
      <c r="F12" s="12" t="s">
        <v>118</v>
      </c>
      <c r="G12" s="12" t="s">
        <v>119</v>
      </c>
    </row>
    <row r="13" customFormat="false" ht="23.25" hidden="false" customHeight="true" outlineLevel="0" collapsed="false">
      <c r="A13" s="11" t="n">
        <v>12</v>
      </c>
      <c r="B13" s="11" t="s">
        <v>120</v>
      </c>
      <c r="C13" s="11" t="n">
        <v>2025</v>
      </c>
      <c r="D13" s="12" t="s">
        <v>121</v>
      </c>
      <c r="E13" s="12" t="s">
        <v>122</v>
      </c>
      <c r="F13" s="12" t="s">
        <v>123</v>
      </c>
      <c r="G13" s="12" t="s">
        <v>124</v>
      </c>
    </row>
    <row r="14" customFormat="false" ht="34.5" hidden="false" customHeight="true" outlineLevel="0" collapsed="false">
      <c r="A14" s="11" t="n">
        <v>13</v>
      </c>
      <c r="B14" s="11" t="s">
        <v>125</v>
      </c>
      <c r="C14" s="11" t="n">
        <v>2026</v>
      </c>
      <c r="D14" s="12" t="s">
        <v>126</v>
      </c>
      <c r="E14" s="12" t="s">
        <v>127</v>
      </c>
      <c r="F14" s="12" t="s">
        <v>128</v>
      </c>
      <c r="G14" s="12" t="s">
        <v>129</v>
      </c>
    </row>
    <row r="15" customFormat="false" ht="23.25" hidden="false" customHeight="true" outlineLevel="0" collapsed="false">
      <c r="A15" s="11" t="n">
        <v>14</v>
      </c>
      <c r="B15" s="11" t="s">
        <v>130</v>
      </c>
      <c r="C15" s="11" t="n">
        <v>2026</v>
      </c>
      <c r="D15" s="12" t="s">
        <v>131</v>
      </c>
      <c r="E15" s="12" t="s">
        <v>132</v>
      </c>
      <c r="F15" s="12" t="s">
        <v>133</v>
      </c>
      <c r="G15" s="12" t="s">
        <v>134</v>
      </c>
    </row>
    <row r="16" customFormat="false" ht="23.25" hidden="false" customHeight="true" outlineLevel="0" collapsed="false">
      <c r="A16" s="11" t="n">
        <v>15</v>
      </c>
      <c r="B16" s="11" t="s">
        <v>135</v>
      </c>
      <c r="C16" s="11" t="n">
        <v>2025</v>
      </c>
      <c r="D16" s="12" t="s">
        <v>136</v>
      </c>
      <c r="E16" s="12" t="s">
        <v>137</v>
      </c>
      <c r="F16" s="12" t="s">
        <v>138</v>
      </c>
      <c r="G16" s="12" t="s">
        <v>139</v>
      </c>
    </row>
    <row r="17" customFormat="false" ht="34.5" hidden="false" customHeight="true" outlineLevel="0" collapsed="false">
      <c r="A17" s="11" t="n">
        <v>16</v>
      </c>
      <c r="B17" s="11" t="s">
        <v>140</v>
      </c>
      <c r="C17" s="11" t="n">
        <v>2026</v>
      </c>
      <c r="D17" s="12" t="s">
        <v>141</v>
      </c>
      <c r="E17" s="12" t="s">
        <v>142</v>
      </c>
      <c r="F17" s="12" t="s">
        <v>143</v>
      </c>
      <c r="G17" s="12" t="s">
        <v>144</v>
      </c>
    </row>
    <row r="18" customFormat="false" ht="23.25" hidden="false" customHeight="true" outlineLevel="0" collapsed="false">
      <c r="A18" s="11" t="n">
        <v>17</v>
      </c>
      <c r="B18" s="11" t="s">
        <v>145</v>
      </c>
      <c r="C18" s="11" t="n">
        <v>2026</v>
      </c>
      <c r="D18" s="12" t="s">
        <v>146</v>
      </c>
      <c r="E18" s="12" t="s">
        <v>147</v>
      </c>
      <c r="F18" s="12" t="s">
        <v>148</v>
      </c>
      <c r="G18" s="12" t="s">
        <v>149</v>
      </c>
    </row>
    <row r="19" customFormat="false" ht="23.25" hidden="false" customHeight="true" outlineLevel="0" collapsed="false">
      <c r="A19" s="11" t="n">
        <v>18</v>
      </c>
      <c r="B19" s="11" t="s">
        <v>150</v>
      </c>
      <c r="C19" s="11" t="n">
        <v>2025</v>
      </c>
      <c r="D19" s="12" t="s">
        <v>151</v>
      </c>
      <c r="E19" s="12" t="s">
        <v>152</v>
      </c>
      <c r="F19" s="12" t="s">
        <v>153</v>
      </c>
      <c r="G19" s="12" t="s">
        <v>154</v>
      </c>
    </row>
    <row r="20" customFormat="false" ht="23.25" hidden="false" customHeight="true" outlineLevel="0" collapsed="false">
      <c r="A20" s="11" t="n">
        <v>19</v>
      </c>
      <c r="B20" s="11" t="s">
        <v>155</v>
      </c>
      <c r="C20" s="11" t="n">
        <v>2025</v>
      </c>
      <c r="D20" s="12" t="s">
        <v>156</v>
      </c>
      <c r="E20" s="12" t="s">
        <v>157</v>
      </c>
      <c r="F20" s="12" t="s">
        <v>158</v>
      </c>
      <c r="G20" s="12" t="s">
        <v>159</v>
      </c>
    </row>
    <row r="21" customFormat="false" ht="34.5" hidden="false" customHeight="true" outlineLevel="0" collapsed="false">
      <c r="A21" s="11" t="n">
        <v>20</v>
      </c>
      <c r="B21" s="11" t="s">
        <v>160</v>
      </c>
      <c r="C21" s="11" t="n">
        <v>2026</v>
      </c>
      <c r="D21" s="12" t="s">
        <v>161</v>
      </c>
      <c r="E21" s="12" t="s">
        <v>162</v>
      </c>
      <c r="F21" s="12" t="s">
        <v>163</v>
      </c>
      <c r="G21" s="12" t="s">
        <v>164</v>
      </c>
    </row>
    <row r="23" customFormat="false" ht="15" hidden="false" customHeight="true" outlineLevel="0" collapsed="false">
      <c r="B23" s="3" t="s">
        <v>165</v>
      </c>
    </row>
  </sheetData>
  <autoFilter ref="A1:G2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24"/>
    <col collapsed="false" customWidth="true" hidden="false" outlineLevel="0" max="3" min="3" style="1" width="7"/>
    <col collapsed="false" customWidth="true" hidden="false" outlineLevel="0" max="4" min="4" style="1" width="40"/>
    <col collapsed="false" customWidth="true" hidden="false" outlineLevel="0" max="5" min="5" style="1" width="28"/>
    <col collapsed="false" customWidth="true" hidden="false" outlineLevel="0" max="6" min="6" style="1" width="16"/>
    <col collapsed="false" customWidth="true" hidden="false" outlineLevel="0" max="7" min="7" style="1" width="18"/>
    <col collapsed="false" customWidth="true" hidden="false" outlineLevel="0" max="8" min="8" style="1" width="30"/>
    <col collapsed="false" customWidth="true" hidden="false" outlineLevel="0" max="9" min="9" style="1" width="40"/>
    <col collapsed="false" customWidth="true" hidden="false" outlineLevel="0" max="10" min="10" style="1" width="52"/>
    <col collapsed="false" customWidth="true" hidden="false" outlineLevel="0" max="11" min="11" style="1" width="44"/>
    <col collapsed="false" customWidth="true" hidden="false" outlineLevel="0" max="12" min="12" style="1" width="14"/>
    <col collapsed="false" customWidth="true" hidden="false" outlineLevel="0" max="20" min="13" style="1" width="11"/>
    <col collapsed="false" customWidth="true" hidden="false" outlineLevel="0" max="21" min="21" style="1" width="10"/>
  </cols>
  <sheetData>
    <row r="1" customFormat="false" ht="42" hidden="false" customHeight="true" outlineLevel="0" collapsed="false">
      <c r="A1" s="6" t="s">
        <v>58</v>
      </c>
      <c r="B1" s="6" t="s">
        <v>166</v>
      </c>
      <c r="C1" s="6" t="s">
        <v>52</v>
      </c>
      <c r="D1" s="6" t="s">
        <v>167</v>
      </c>
      <c r="E1" s="6" t="s">
        <v>168</v>
      </c>
      <c r="F1" s="6" t="s">
        <v>169</v>
      </c>
      <c r="G1" s="6" t="s">
        <v>170</v>
      </c>
      <c r="H1" s="6" t="s">
        <v>171</v>
      </c>
      <c r="I1" s="6" t="s">
        <v>172</v>
      </c>
      <c r="J1" s="6" t="s">
        <v>173</v>
      </c>
      <c r="K1" s="6" t="s">
        <v>63</v>
      </c>
      <c r="L1" s="6" t="s">
        <v>174</v>
      </c>
      <c r="M1" s="6" t="s">
        <v>43</v>
      </c>
      <c r="N1" s="6" t="s">
        <v>44</v>
      </c>
      <c r="O1" s="6" t="s">
        <v>45</v>
      </c>
      <c r="P1" s="6" t="s">
        <v>46</v>
      </c>
      <c r="Q1" s="6" t="s">
        <v>47</v>
      </c>
      <c r="R1" s="6" t="s">
        <v>48</v>
      </c>
      <c r="S1" s="6" t="s">
        <v>49</v>
      </c>
      <c r="T1" s="6" t="s">
        <v>50</v>
      </c>
      <c r="U1" s="6" t="s">
        <v>175</v>
      </c>
    </row>
    <row r="2" customFormat="false" ht="34.5" hidden="false" customHeight="true" outlineLevel="0" collapsed="false">
      <c r="A2" s="11" t="n">
        <v>1</v>
      </c>
      <c r="B2" s="11" t="s">
        <v>64</v>
      </c>
      <c r="C2" s="12" t="n">
        <v>2026</v>
      </c>
      <c r="D2" s="11" t="s">
        <v>176</v>
      </c>
      <c r="E2" s="11" t="s">
        <v>177</v>
      </c>
      <c r="F2" s="11" t="s">
        <v>178</v>
      </c>
      <c r="G2" s="11" t="s">
        <v>179</v>
      </c>
      <c r="H2" s="11" t="s">
        <v>180</v>
      </c>
      <c r="I2" s="11" t="s">
        <v>181</v>
      </c>
      <c r="J2" s="11" t="s">
        <v>182</v>
      </c>
      <c r="K2" s="11" t="s">
        <v>183</v>
      </c>
      <c r="L2" s="12" t="s">
        <v>184</v>
      </c>
      <c r="M2" s="13" t="n">
        <v>1</v>
      </c>
      <c r="N2" s="13" t="n">
        <v>1</v>
      </c>
      <c r="O2" s="13" t="n">
        <v>1</v>
      </c>
      <c r="P2" s="13" t="n">
        <v>1</v>
      </c>
      <c r="Q2" s="13" t="n">
        <v>1</v>
      </c>
      <c r="R2" s="13" t="n">
        <v>1</v>
      </c>
      <c r="S2" s="13" t="n">
        <v>1</v>
      </c>
      <c r="T2" s="13" t="n">
        <v>1</v>
      </c>
      <c r="U2" s="11" t="n">
        <f aca="false">SUM(M2:T2)</f>
        <v>8</v>
      </c>
    </row>
    <row r="3" customFormat="false" ht="23.25" hidden="false" customHeight="true" outlineLevel="0" collapsed="false">
      <c r="A3" s="11" t="n">
        <v>2</v>
      </c>
      <c r="B3" s="11" t="s">
        <v>69</v>
      </c>
      <c r="C3" s="12" t="n">
        <v>2025</v>
      </c>
      <c r="D3" s="11" t="s">
        <v>185</v>
      </c>
      <c r="E3" s="11" t="s">
        <v>186</v>
      </c>
      <c r="F3" s="11" t="s">
        <v>187</v>
      </c>
      <c r="G3" s="11" t="s">
        <v>179</v>
      </c>
      <c r="H3" s="11" t="s">
        <v>188</v>
      </c>
      <c r="I3" s="11" t="s">
        <v>189</v>
      </c>
      <c r="J3" s="11" t="s">
        <v>190</v>
      </c>
      <c r="K3" s="11" t="s">
        <v>191</v>
      </c>
      <c r="L3" s="12" t="s">
        <v>192</v>
      </c>
      <c r="M3" s="13" t="n">
        <v>0</v>
      </c>
      <c r="N3" s="13" t="n">
        <v>0</v>
      </c>
      <c r="O3" s="13" t="n">
        <v>0</v>
      </c>
      <c r="P3" s="13" t="n">
        <v>0</v>
      </c>
      <c r="Q3" s="13" t="n">
        <v>0</v>
      </c>
      <c r="R3" s="13" t="n">
        <v>0</v>
      </c>
      <c r="S3" s="13" t="n">
        <v>0</v>
      </c>
      <c r="T3" s="13" t="n">
        <v>0</v>
      </c>
      <c r="U3" s="11" t="n">
        <f aca="false">SUM(M3:T3)</f>
        <v>0</v>
      </c>
    </row>
    <row r="4" customFormat="false" ht="23.25" hidden="false" customHeight="true" outlineLevel="0" collapsed="false">
      <c r="A4" s="11" t="n">
        <v>3</v>
      </c>
      <c r="B4" s="11" t="s">
        <v>74</v>
      </c>
      <c r="C4" s="12" t="n">
        <v>2025</v>
      </c>
      <c r="D4" s="11" t="s">
        <v>193</v>
      </c>
      <c r="E4" s="11" t="s">
        <v>194</v>
      </c>
      <c r="F4" s="11" t="s">
        <v>187</v>
      </c>
      <c r="G4" s="11" t="s">
        <v>179</v>
      </c>
      <c r="H4" s="11" t="s">
        <v>195</v>
      </c>
      <c r="I4" s="11" t="s">
        <v>196</v>
      </c>
      <c r="J4" s="11" t="s">
        <v>197</v>
      </c>
      <c r="K4" s="11" t="s">
        <v>198</v>
      </c>
      <c r="L4" s="12" t="s">
        <v>199</v>
      </c>
      <c r="M4" s="13" t="n">
        <v>1</v>
      </c>
      <c r="N4" s="13" t="n">
        <v>1</v>
      </c>
      <c r="O4" s="13" t="n">
        <v>0</v>
      </c>
      <c r="P4" s="13" t="n">
        <v>0</v>
      </c>
      <c r="Q4" s="13" t="n">
        <v>0</v>
      </c>
      <c r="R4" s="13" t="n">
        <v>0</v>
      </c>
      <c r="S4" s="13" t="n">
        <v>0</v>
      </c>
      <c r="T4" s="13" t="n">
        <v>1</v>
      </c>
      <c r="U4" s="11" t="n">
        <f aca="false">SUM(M4:T4)</f>
        <v>3</v>
      </c>
    </row>
    <row r="5" customFormat="false" ht="23.25" hidden="false" customHeight="true" outlineLevel="0" collapsed="false">
      <c r="A5" s="11" t="n">
        <v>4</v>
      </c>
      <c r="B5" s="11" t="s">
        <v>79</v>
      </c>
      <c r="C5" s="12" t="n">
        <v>2025</v>
      </c>
      <c r="D5" s="11" t="s">
        <v>200</v>
      </c>
      <c r="E5" s="11" t="s">
        <v>201</v>
      </c>
      <c r="F5" s="11" t="s">
        <v>187</v>
      </c>
      <c r="G5" s="11" t="s">
        <v>202</v>
      </c>
      <c r="H5" s="11" t="s">
        <v>203</v>
      </c>
      <c r="I5" s="11" t="s">
        <v>204</v>
      </c>
      <c r="J5" s="11" t="s">
        <v>205</v>
      </c>
      <c r="K5" s="11" t="s">
        <v>206</v>
      </c>
      <c r="L5" s="12" t="s">
        <v>199</v>
      </c>
      <c r="M5" s="13" t="n">
        <v>1</v>
      </c>
      <c r="N5" s="13" t="n">
        <v>0</v>
      </c>
      <c r="O5" s="13" t="n">
        <v>0</v>
      </c>
      <c r="P5" s="13" t="n">
        <v>0</v>
      </c>
      <c r="Q5" s="13" t="n">
        <v>0</v>
      </c>
      <c r="R5" s="13" t="n">
        <v>1</v>
      </c>
      <c r="S5" s="13" t="n">
        <v>0</v>
      </c>
      <c r="T5" s="13" t="n">
        <v>0</v>
      </c>
      <c r="U5" s="11" t="n">
        <f aca="false">SUM(M5:T5)</f>
        <v>2</v>
      </c>
    </row>
    <row r="6" customFormat="false" ht="34.5" hidden="false" customHeight="true" outlineLevel="0" collapsed="false">
      <c r="A6" s="11" t="n">
        <v>5</v>
      </c>
      <c r="B6" s="11" t="s">
        <v>84</v>
      </c>
      <c r="C6" s="12" t="s">
        <v>85</v>
      </c>
      <c r="D6" s="11" t="s">
        <v>207</v>
      </c>
      <c r="E6" s="11" t="s">
        <v>208</v>
      </c>
      <c r="F6" s="11" t="s">
        <v>178</v>
      </c>
      <c r="G6" s="11" t="s">
        <v>209</v>
      </c>
      <c r="H6" s="11" t="s">
        <v>210</v>
      </c>
      <c r="I6" s="11" t="s">
        <v>211</v>
      </c>
      <c r="J6" s="11" t="s">
        <v>212</v>
      </c>
      <c r="K6" s="11" t="s">
        <v>213</v>
      </c>
      <c r="L6" s="12" t="s">
        <v>184</v>
      </c>
      <c r="M6" s="13" t="n">
        <v>1</v>
      </c>
      <c r="N6" s="13" t="n">
        <v>1</v>
      </c>
      <c r="O6" s="13" t="n">
        <v>1</v>
      </c>
      <c r="P6" s="13" t="n">
        <v>1</v>
      </c>
      <c r="Q6" s="13" t="n">
        <v>1</v>
      </c>
      <c r="R6" s="13" t="n">
        <v>1</v>
      </c>
      <c r="S6" s="13" t="n">
        <v>1</v>
      </c>
      <c r="T6" s="13" t="n">
        <v>1</v>
      </c>
      <c r="U6" s="11" t="n">
        <f aca="false">SUM(M6:T6)</f>
        <v>8</v>
      </c>
    </row>
    <row r="7" customFormat="false" ht="23.25" hidden="false" customHeight="true" outlineLevel="0" collapsed="false">
      <c r="A7" s="11" t="n">
        <v>6</v>
      </c>
      <c r="B7" s="11" t="s">
        <v>90</v>
      </c>
      <c r="C7" s="12" t="n">
        <v>2026</v>
      </c>
      <c r="D7" s="11" t="s">
        <v>214</v>
      </c>
      <c r="E7" s="11" t="s">
        <v>215</v>
      </c>
      <c r="F7" s="11" t="s">
        <v>187</v>
      </c>
      <c r="G7" s="11" t="s">
        <v>179</v>
      </c>
      <c r="H7" s="11" t="s">
        <v>216</v>
      </c>
      <c r="I7" s="11" t="s">
        <v>217</v>
      </c>
      <c r="J7" s="11" t="s">
        <v>218</v>
      </c>
      <c r="K7" s="11" t="s">
        <v>219</v>
      </c>
      <c r="L7" s="12" t="s">
        <v>199</v>
      </c>
      <c r="M7" s="13" t="n">
        <v>1</v>
      </c>
      <c r="N7" s="13" t="n">
        <v>1</v>
      </c>
      <c r="O7" s="13" t="n">
        <v>1</v>
      </c>
      <c r="P7" s="13" t="n">
        <v>0</v>
      </c>
      <c r="Q7" s="13" t="n">
        <v>0</v>
      </c>
      <c r="R7" s="13" t="n">
        <v>0</v>
      </c>
      <c r="S7" s="13" t="n">
        <v>1</v>
      </c>
      <c r="T7" s="13" t="n">
        <v>1</v>
      </c>
      <c r="U7" s="11" t="n">
        <f aca="false">SUM(M7:T7)</f>
        <v>5</v>
      </c>
    </row>
    <row r="8" customFormat="false" ht="23.25" hidden="false" customHeight="true" outlineLevel="0" collapsed="false">
      <c r="A8" s="11" t="n">
        <v>7</v>
      </c>
      <c r="B8" s="11" t="s">
        <v>95</v>
      </c>
      <c r="C8" s="12" t="n">
        <v>2024</v>
      </c>
      <c r="D8" s="11" t="s">
        <v>220</v>
      </c>
      <c r="E8" s="11" t="s">
        <v>221</v>
      </c>
      <c r="F8" s="11" t="s">
        <v>187</v>
      </c>
      <c r="G8" s="11" t="s">
        <v>179</v>
      </c>
      <c r="H8" s="11" t="s">
        <v>203</v>
      </c>
      <c r="I8" s="11" t="s">
        <v>222</v>
      </c>
      <c r="J8" s="11" t="s">
        <v>223</v>
      </c>
      <c r="K8" s="11" t="s">
        <v>224</v>
      </c>
      <c r="L8" s="12" t="s">
        <v>199</v>
      </c>
      <c r="M8" s="13" t="n">
        <v>1</v>
      </c>
      <c r="N8" s="13" t="n">
        <v>0</v>
      </c>
      <c r="O8" s="13" t="n">
        <v>1</v>
      </c>
      <c r="P8" s="13" t="n">
        <v>0</v>
      </c>
      <c r="Q8" s="13" t="n">
        <v>0</v>
      </c>
      <c r="R8" s="13" t="n">
        <v>1</v>
      </c>
      <c r="S8" s="13" t="n">
        <v>1</v>
      </c>
      <c r="T8" s="13" t="n">
        <v>0</v>
      </c>
      <c r="U8" s="11" t="n">
        <f aca="false">SUM(M8:T8)</f>
        <v>4</v>
      </c>
    </row>
    <row r="9" customFormat="false" ht="23.25" hidden="false" customHeight="true" outlineLevel="0" collapsed="false">
      <c r="A9" s="11" t="n">
        <v>8</v>
      </c>
      <c r="B9" s="11" t="s">
        <v>100</v>
      </c>
      <c r="C9" s="12" t="n">
        <v>2026</v>
      </c>
      <c r="D9" s="11" t="s">
        <v>225</v>
      </c>
      <c r="E9" s="11" t="s">
        <v>226</v>
      </c>
      <c r="F9" s="11" t="s">
        <v>227</v>
      </c>
      <c r="G9" s="11" t="s">
        <v>179</v>
      </c>
      <c r="H9" s="11" t="s">
        <v>228</v>
      </c>
      <c r="I9" s="11" t="s">
        <v>229</v>
      </c>
      <c r="J9" s="11" t="s">
        <v>230</v>
      </c>
      <c r="K9" s="11" t="s">
        <v>231</v>
      </c>
      <c r="L9" s="12" t="s">
        <v>184</v>
      </c>
      <c r="M9" s="13" t="n">
        <v>0</v>
      </c>
      <c r="N9" s="13" t="n">
        <v>1</v>
      </c>
      <c r="O9" s="13" t="n">
        <v>0</v>
      </c>
      <c r="P9" s="13" t="n">
        <v>0</v>
      </c>
      <c r="Q9" s="13" t="n">
        <v>1</v>
      </c>
      <c r="R9" s="13" t="n">
        <v>0</v>
      </c>
      <c r="S9" s="13" t="n">
        <v>0</v>
      </c>
      <c r="T9" s="13" t="n">
        <v>1</v>
      </c>
      <c r="U9" s="11" t="n">
        <f aca="false">SUM(M9:T9)</f>
        <v>3</v>
      </c>
    </row>
    <row r="10" customFormat="false" ht="23.25" hidden="false" customHeight="true" outlineLevel="0" collapsed="false">
      <c r="A10" s="11" t="n">
        <v>9</v>
      </c>
      <c r="B10" s="11" t="s">
        <v>105</v>
      </c>
      <c r="C10" s="12" t="n">
        <v>2025</v>
      </c>
      <c r="D10" s="11" t="s">
        <v>232</v>
      </c>
      <c r="E10" s="11" t="s">
        <v>233</v>
      </c>
      <c r="F10" s="11" t="s">
        <v>187</v>
      </c>
      <c r="G10" s="11" t="s">
        <v>179</v>
      </c>
      <c r="H10" s="11" t="s">
        <v>203</v>
      </c>
      <c r="I10" s="11" t="s">
        <v>234</v>
      </c>
      <c r="J10" s="11" t="s">
        <v>235</v>
      </c>
      <c r="K10" s="11" t="s">
        <v>236</v>
      </c>
      <c r="L10" s="12" t="s">
        <v>199</v>
      </c>
      <c r="M10" s="13" t="n">
        <v>1</v>
      </c>
      <c r="N10" s="13" t="n">
        <v>1</v>
      </c>
      <c r="O10" s="13" t="n">
        <v>0</v>
      </c>
      <c r="P10" s="13" t="n">
        <v>0</v>
      </c>
      <c r="Q10" s="13" t="n">
        <v>0</v>
      </c>
      <c r="R10" s="13" t="n">
        <v>0</v>
      </c>
      <c r="S10" s="13" t="n">
        <v>0</v>
      </c>
      <c r="T10" s="13" t="n">
        <v>0</v>
      </c>
      <c r="U10" s="11" t="n">
        <f aca="false">SUM(M10:T10)</f>
        <v>2</v>
      </c>
    </row>
    <row r="11" customFormat="false" ht="23.25" hidden="false" customHeight="true" outlineLevel="0" collapsed="false">
      <c r="A11" s="11" t="n">
        <v>10</v>
      </c>
      <c r="B11" s="11" t="s">
        <v>110</v>
      </c>
      <c r="C11" s="12" t="n">
        <v>2025</v>
      </c>
      <c r="D11" s="11" t="s">
        <v>237</v>
      </c>
      <c r="E11" s="11" t="s">
        <v>238</v>
      </c>
      <c r="F11" s="11" t="s">
        <v>178</v>
      </c>
      <c r="G11" s="11" t="s">
        <v>179</v>
      </c>
      <c r="H11" s="11" t="s">
        <v>239</v>
      </c>
      <c r="I11" s="11" t="s">
        <v>240</v>
      </c>
      <c r="J11" s="11" t="s">
        <v>241</v>
      </c>
      <c r="K11" s="11" t="s">
        <v>242</v>
      </c>
      <c r="L11" s="12" t="s">
        <v>192</v>
      </c>
      <c r="M11" s="13" t="n">
        <v>1</v>
      </c>
      <c r="N11" s="13" t="n">
        <v>0</v>
      </c>
      <c r="O11" s="13" t="n">
        <v>0</v>
      </c>
      <c r="P11" s="13" t="n">
        <v>0</v>
      </c>
      <c r="Q11" s="13" t="n">
        <v>0</v>
      </c>
      <c r="R11" s="13" t="n">
        <v>0</v>
      </c>
      <c r="S11" s="13" t="n">
        <v>0</v>
      </c>
      <c r="T11" s="13" t="n">
        <v>1</v>
      </c>
      <c r="U11" s="11" t="n">
        <f aca="false">SUM(M11:T11)</f>
        <v>2</v>
      </c>
    </row>
    <row r="12" customFormat="false" ht="23.25" hidden="false" customHeight="true" outlineLevel="0" collapsed="false">
      <c r="A12" s="11" t="n">
        <v>11</v>
      </c>
      <c r="B12" s="11" t="s">
        <v>115</v>
      </c>
      <c r="C12" s="12" t="n">
        <v>2024</v>
      </c>
      <c r="D12" s="11" t="s">
        <v>243</v>
      </c>
      <c r="E12" s="11" t="s">
        <v>244</v>
      </c>
      <c r="F12" s="11" t="s">
        <v>187</v>
      </c>
      <c r="G12" s="11" t="s">
        <v>179</v>
      </c>
      <c r="H12" s="11" t="s">
        <v>245</v>
      </c>
      <c r="I12" s="11" t="s">
        <v>246</v>
      </c>
      <c r="J12" s="11" t="s">
        <v>247</v>
      </c>
      <c r="K12" s="11" t="s">
        <v>248</v>
      </c>
      <c r="L12" s="12" t="s">
        <v>199</v>
      </c>
      <c r="M12" s="13" t="n">
        <v>1</v>
      </c>
      <c r="N12" s="13" t="n">
        <v>1</v>
      </c>
      <c r="O12" s="13" t="n">
        <v>0</v>
      </c>
      <c r="P12" s="13" t="n">
        <v>0</v>
      </c>
      <c r="Q12" s="13" t="n">
        <v>0</v>
      </c>
      <c r="R12" s="13" t="n">
        <v>0</v>
      </c>
      <c r="S12" s="13" t="n">
        <v>0</v>
      </c>
      <c r="T12" s="13" t="n">
        <v>1</v>
      </c>
      <c r="U12" s="11" t="n">
        <f aca="false">SUM(M12:T12)</f>
        <v>3</v>
      </c>
    </row>
    <row r="13" customFormat="false" ht="23.25" hidden="false" customHeight="true" outlineLevel="0" collapsed="false">
      <c r="A13" s="11" t="n">
        <v>12</v>
      </c>
      <c r="B13" s="11" t="s">
        <v>120</v>
      </c>
      <c r="C13" s="12" t="n">
        <v>2025</v>
      </c>
      <c r="D13" s="11" t="s">
        <v>249</v>
      </c>
      <c r="E13" s="11" t="s">
        <v>250</v>
      </c>
      <c r="F13" s="11" t="s">
        <v>187</v>
      </c>
      <c r="G13" s="11" t="s">
        <v>251</v>
      </c>
      <c r="H13" s="11" t="s">
        <v>203</v>
      </c>
      <c r="I13" s="11" t="s">
        <v>252</v>
      </c>
      <c r="J13" s="11" t="s">
        <v>253</v>
      </c>
      <c r="K13" s="11" t="s">
        <v>254</v>
      </c>
      <c r="L13" s="12" t="s">
        <v>199</v>
      </c>
      <c r="M13" s="13" t="n">
        <v>1</v>
      </c>
      <c r="N13" s="13" t="n">
        <v>0</v>
      </c>
      <c r="O13" s="13" t="n">
        <v>0</v>
      </c>
      <c r="P13" s="13" t="n">
        <v>0</v>
      </c>
      <c r="Q13" s="13" t="n">
        <v>0</v>
      </c>
      <c r="R13" s="13" t="n">
        <v>0</v>
      </c>
      <c r="S13" s="13" t="n">
        <v>0</v>
      </c>
      <c r="T13" s="13" t="n">
        <v>0</v>
      </c>
      <c r="U13" s="11" t="n">
        <f aca="false">SUM(M13:T13)</f>
        <v>1</v>
      </c>
    </row>
    <row r="14" customFormat="false" ht="23.25" hidden="false" customHeight="true" outlineLevel="0" collapsed="false">
      <c r="A14" s="11" t="n">
        <v>13</v>
      </c>
      <c r="B14" s="11" t="s">
        <v>125</v>
      </c>
      <c r="C14" s="12" t="n">
        <v>2026</v>
      </c>
      <c r="D14" s="11" t="s">
        <v>255</v>
      </c>
      <c r="E14" s="11" t="s">
        <v>256</v>
      </c>
      <c r="F14" s="11" t="s">
        <v>227</v>
      </c>
      <c r="G14" s="11" t="s">
        <v>179</v>
      </c>
      <c r="H14" s="11" t="s">
        <v>257</v>
      </c>
      <c r="I14" s="11" t="s">
        <v>258</v>
      </c>
      <c r="J14" s="11" t="s">
        <v>259</v>
      </c>
      <c r="K14" s="11" t="s">
        <v>260</v>
      </c>
      <c r="L14" s="12" t="s">
        <v>184</v>
      </c>
      <c r="M14" s="13" t="n">
        <v>1</v>
      </c>
      <c r="N14" s="13" t="n">
        <v>1</v>
      </c>
      <c r="O14" s="13" t="n">
        <v>1</v>
      </c>
      <c r="P14" s="13" t="n">
        <v>0</v>
      </c>
      <c r="Q14" s="13" t="n">
        <v>1</v>
      </c>
      <c r="R14" s="13" t="n">
        <v>1</v>
      </c>
      <c r="S14" s="13" t="n">
        <v>0</v>
      </c>
      <c r="T14" s="13" t="n">
        <v>1</v>
      </c>
      <c r="U14" s="11" t="n">
        <f aca="false">SUM(M14:T14)</f>
        <v>6</v>
      </c>
    </row>
    <row r="15" customFormat="false" ht="23.25" hidden="false" customHeight="true" outlineLevel="0" collapsed="false">
      <c r="A15" s="11" t="n">
        <v>14</v>
      </c>
      <c r="B15" s="11" t="s">
        <v>130</v>
      </c>
      <c r="C15" s="12" t="n">
        <v>2026</v>
      </c>
      <c r="D15" s="11" t="s">
        <v>261</v>
      </c>
      <c r="E15" s="11" t="s">
        <v>262</v>
      </c>
      <c r="F15" s="11" t="s">
        <v>263</v>
      </c>
      <c r="G15" s="11" t="s">
        <v>179</v>
      </c>
      <c r="H15" s="11" t="s">
        <v>264</v>
      </c>
      <c r="I15" s="11" t="s">
        <v>265</v>
      </c>
      <c r="J15" s="11" t="s">
        <v>266</v>
      </c>
      <c r="K15" s="11" t="s">
        <v>242</v>
      </c>
      <c r="L15" s="12" t="s">
        <v>184</v>
      </c>
      <c r="M15" s="13" t="n">
        <v>0</v>
      </c>
      <c r="N15" s="13" t="n">
        <v>0</v>
      </c>
      <c r="O15" s="13" t="n">
        <v>0</v>
      </c>
      <c r="P15" s="13" t="n">
        <v>1</v>
      </c>
      <c r="Q15" s="13" t="n">
        <v>1</v>
      </c>
      <c r="R15" s="13" t="n">
        <v>0</v>
      </c>
      <c r="S15" s="13" t="n">
        <v>0</v>
      </c>
      <c r="T15" s="13" t="n">
        <v>0</v>
      </c>
      <c r="U15" s="11" t="n">
        <f aca="false">SUM(M15:T15)</f>
        <v>2</v>
      </c>
    </row>
    <row r="16" customFormat="false" ht="23.25" hidden="false" customHeight="true" outlineLevel="0" collapsed="false">
      <c r="A16" s="11" t="n">
        <v>15</v>
      </c>
      <c r="B16" s="11" t="s">
        <v>135</v>
      </c>
      <c r="C16" s="12" t="n">
        <v>2025</v>
      </c>
      <c r="D16" s="11" t="s">
        <v>267</v>
      </c>
      <c r="E16" s="11" t="s">
        <v>268</v>
      </c>
      <c r="F16" s="11" t="s">
        <v>269</v>
      </c>
      <c r="G16" s="11" t="s">
        <v>179</v>
      </c>
      <c r="H16" s="11" t="s">
        <v>270</v>
      </c>
      <c r="I16" s="11" t="s">
        <v>271</v>
      </c>
      <c r="J16" s="11" t="s">
        <v>272</v>
      </c>
      <c r="K16" s="11" t="s">
        <v>273</v>
      </c>
      <c r="L16" s="12" t="s">
        <v>274</v>
      </c>
      <c r="M16" s="13" t="n">
        <v>1</v>
      </c>
      <c r="N16" s="13" t="n">
        <v>1</v>
      </c>
      <c r="O16" s="13" t="n">
        <v>0</v>
      </c>
      <c r="P16" s="13" t="n">
        <v>0</v>
      </c>
      <c r="Q16" s="13" t="n">
        <v>0</v>
      </c>
      <c r="R16" s="13" t="n">
        <v>1</v>
      </c>
      <c r="S16" s="13" t="n">
        <v>0</v>
      </c>
      <c r="T16" s="13" t="n">
        <v>1</v>
      </c>
      <c r="U16" s="11" t="n">
        <f aca="false">SUM(M16:T16)</f>
        <v>4</v>
      </c>
    </row>
    <row r="17" customFormat="false" ht="23.25" hidden="false" customHeight="true" outlineLevel="0" collapsed="false">
      <c r="A17" s="11" t="n">
        <v>16</v>
      </c>
      <c r="B17" s="11" t="s">
        <v>140</v>
      </c>
      <c r="C17" s="12" t="n">
        <v>2026</v>
      </c>
      <c r="D17" s="11" t="s">
        <v>275</v>
      </c>
      <c r="E17" s="11" t="s">
        <v>276</v>
      </c>
      <c r="F17" s="11" t="s">
        <v>187</v>
      </c>
      <c r="G17" s="11" t="s">
        <v>179</v>
      </c>
      <c r="H17" s="11" t="s">
        <v>203</v>
      </c>
      <c r="I17" s="11" t="s">
        <v>277</v>
      </c>
      <c r="J17" s="11" t="s">
        <v>278</v>
      </c>
      <c r="K17" s="11" t="s">
        <v>279</v>
      </c>
      <c r="L17" s="12" t="s">
        <v>199</v>
      </c>
      <c r="M17" s="13" t="n">
        <v>1</v>
      </c>
      <c r="N17" s="13" t="n">
        <v>0</v>
      </c>
      <c r="O17" s="13" t="n">
        <v>0</v>
      </c>
      <c r="P17" s="13" t="n">
        <v>0</v>
      </c>
      <c r="Q17" s="13" t="n">
        <v>0</v>
      </c>
      <c r="R17" s="13" t="n">
        <v>1</v>
      </c>
      <c r="S17" s="13" t="n">
        <v>1</v>
      </c>
      <c r="T17" s="13" t="n">
        <v>0</v>
      </c>
      <c r="U17" s="11" t="n">
        <f aca="false">SUM(M17:T17)</f>
        <v>3</v>
      </c>
    </row>
    <row r="18" customFormat="false" ht="23.25" hidden="false" customHeight="true" outlineLevel="0" collapsed="false">
      <c r="A18" s="11" t="n">
        <v>17</v>
      </c>
      <c r="B18" s="11" t="s">
        <v>145</v>
      </c>
      <c r="C18" s="12" t="n">
        <v>2026</v>
      </c>
      <c r="D18" s="11" t="s">
        <v>280</v>
      </c>
      <c r="E18" s="11" t="s">
        <v>276</v>
      </c>
      <c r="F18" s="11" t="s">
        <v>187</v>
      </c>
      <c r="G18" s="11" t="s">
        <v>179</v>
      </c>
      <c r="H18" s="11" t="s">
        <v>281</v>
      </c>
      <c r="I18" s="11" t="s">
        <v>282</v>
      </c>
      <c r="J18" s="11" t="s">
        <v>283</v>
      </c>
      <c r="K18" s="11" t="s">
        <v>284</v>
      </c>
      <c r="L18" s="12" t="s">
        <v>199</v>
      </c>
      <c r="M18" s="13" t="n">
        <v>1</v>
      </c>
      <c r="N18" s="13" t="n">
        <v>0</v>
      </c>
      <c r="O18" s="13" t="n">
        <v>0</v>
      </c>
      <c r="P18" s="13" t="n">
        <v>0</v>
      </c>
      <c r="Q18" s="13" t="n">
        <v>0</v>
      </c>
      <c r="R18" s="13" t="n">
        <v>1</v>
      </c>
      <c r="S18" s="13" t="n">
        <v>1</v>
      </c>
      <c r="T18" s="13" t="n">
        <v>1</v>
      </c>
      <c r="U18" s="11" t="n">
        <f aca="false">SUM(M18:T18)</f>
        <v>4</v>
      </c>
    </row>
    <row r="19" customFormat="false" ht="23.25" hidden="false" customHeight="true" outlineLevel="0" collapsed="false">
      <c r="A19" s="11" t="n">
        <v>18</v>
      </c>
      <c r="B19" s="11" t="s">
        <v>150</v>
      </c>
      <c r="C19" s="12" t="n">
        <v>2025</v>
      </c>
      <c r="D19" s="11" t="s">
        <v>285</v>
      </c>
      <c r="E19" s="11" t="s">
        <v>286</v>
      </c>
      <c r="F19" s="11" t="s">
        <v>227</v>
      </c>
      <c r="G19" s="11" t="s">
        <v>179</v>
      </c>
      <c r="H19" s="11" t="s">
        <v>287</v>
      </c>
      <c r="I19" s="11" t="s">
        <v>288</v>
      </c>
      <c r="J19" s="11" t="s">
        <v>289</v>
      </c>
      <c r="K19" s="11" t="s">
        <v>242</v>
      </c>
      <c r="L19" s="12" t="s">
        <v>192</v>
      </c>
      <c r="M19" s="13" t="n">
        <v>1</v>
      </c>
      <c r="N19" s="13" t="n">
        <v>1</v>
      </c>
      <c r="O19" s="13" t="n">
        <v>0</v>
      </c>
      <c r="P19" s="13" t="n">
        <v>1</v>
      </c>
      <c r="Q19" s="13" t="n">
        <v>0</v>
      </c>
      <c r="R19" s="13" t="n">
        <v>0</v>
      </c>
      <c r="S19" s="13" t="n">
        <v>1</v>
      </c>
      <c r="T19" s="13" t="n">
        <v>1</v>
      </c>
      <c r="U19" s="11" t="n">
        <f aca="false">SUM(M19:T19)</f>
        <v>5</v>
      </c>
    </row>
    <row r="20" customFormat="false" ht="23.25" hidden="false" customHeight="true" outlineLevel="0" collapsed="false">
      <c r="A20" s="11" t="n">
        <v>19</v>
      </c>
      <c r="B20" s="11" t="s">
        <v>155</v>
      </c>
      <c r="C20" s="12" t="n">
        <v>2025</v>
      </c>
      <c r="D20" s="11" t="s">
        <v>290</v>
      </c>
      <c r="E20" s="11" t="s">
        <v>291</v>
      </c>
      <c r="F20" s="11" t="s">
        <v>263</v>
      </c>
      <c r="G20" s="11" t="s">
        <v>179</v>
      </c>
      <c r="H20" s="11" t="s">
        <v>292</v>
      </c>
      <c r="I20" s="11" t="s">
        <v>293</v>
      </c>
      <c r="J20" s="11" t="s">
        <v>294</v>
      </c>
      <c r="K20" s="11" t="s">
        <v>295</v>
      </c>
      <c r="L20" s="12" t="s">
        <v>192</v>
      </c>
      <c r="M20" s="13" t="n">
        <v>1</v>
      </c>
      <c r="N20" s="13" t="n">
        <v>1</v>
      </c>
      <c r="O20" s="13" t="n">
        <v>0</v>
      </c>
      <c r="P20" s="13" t="n">
        <v>0</v>
      </c>
      <c r="Q20" s="13" t="n">
        <v>0</v>
      </c>
      <c r="R20" s="13" t="n">
        <v>1</v>
      </c>
      <c r="S20" s="13" t="n">
        <v>0</v>
      </c>
      <c r="T20" s="13" t="n">
        <v>1</v>
      </c>
      <c r="U20" s="11" t="n">
        <f aca="false">SUM(M20:T20)</f>
        <v>4</v>
      </c>
    </row>
    <row r="21" customFormat="false" ht="23.25" hidden="false" customHeight="true" outlineLevel="0" collapsed="false">
      <c r="A21" s="11" t="n">
        <v>20</v>
      </c>
      <c r="B21" s="11" t="s">
        <v>160</v>
      </c>
      <c r="C21" s="12" t="n">
        <v>2026</v>
      </c>
      <c r="D21" s="11" t="s">
        <v>296</v>
      </c>
      <c r="E21" s="11" t="s">
        <v>297</v>
      </c>
      <c r="F21" s="11" t="s">
        <v>187</v>
      </c>
      <c r="G21" s="11" t="s">
        <v>298</v>
      </c>
      <c r="H21" s="11" t="s">
        <v>299</v>
      </c>
      <c r="I21" s="11" t="s">
        <v>300</v>
      </c>
      <c r="J21" s="11" t="s">
        <v>301</v>
      </c>
      <c r="K21" s="11" t="s">
        <v>302</v>
      </c>
      <c r="L21" s="12" t="s">
        <v>199</v>
      </c>
      <c r="M21" s="13" t="n">
        <v>1</v>
      </c>
      <c r="N21" s="13" t="n">
        <v>1</v>
      </c>
      <c r="O21" s="13" t="n">
        <v>0</v>
      </c>
      <c r="P21" s="13" t="n">
        <v>1</v>
      </c>
      <c r="Q21" s="13" t="n">
        <v>0</v>
      </c>
      <c r="R21" s="13" t="n">
        <v>1</v>
      </c>
      <c r="S21" s="13" t="n">
        <v>0</v>
      </c>
      <c r="T21" s="13" t="n">
        <v>1</v>
      </c>
      <c r="U21" s="11" t="n">
        <f aca="false">SUM(M21:T21)</f>
        <v>5</v>
      </c>
    </row>
  </sheetData>
  <autoFilter ref="A1:U2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2" min="2" style="1" width="20"/>
    <col collapsed="false" customWidth="true" hidden="false" outlineLevel="0" max="3" min="3" style="1" width="16"/>
    <col collapsed="false" customWidth="true" hidden="false" outlineLevel="0" max="4" min="4" style="1" width="24"/>
    <col collapsed="false" customWidth="true" hidden="false" outlineLevel="0" max="5" min="5" style="1" width="30"/>
    <col collapsed="false" customWidth="true" hidden="false" outlineLevel="0" max="6" min="6" style="1" width="42"/>
    <col collapsed="false" customWidth="true" hidden="false" outlineLevel="0" max="7" min="7" style="1" width="60"/>
  </cols>
  <sheetData>
    <row r="1" customFormat="false" ht="23.25" hidden="false" customHeight="true" outlineLevel="0" collapsed="false">
      <c r="A1" s="6" t="s">
        <v>59</v>
      </c>
      <c r="B1" s="6" t="s">
        <v>303</v>
      </c>
      <c r="C1" s="6" t="s">
        <v>304</v>
      </c>
      <c r="D1" s="6" t="s">
        <v>305</v>
      </c>
      <c r="E1" s="6" t="s">
        <v>306</v>
      </c>
      <c r="F1" s="6" t="s">
        <v>307</v>
      </c>
      <c r="G1" s="6" t="s">
        <v>308</v>
      </c>
    </row>
    <row r="2" customFormat="false" ht="15" hidden="false" customHeight="true" outlineLevel="0" collapsed="false">
      <c r="A2" s="11" t="s">
        <v>309</v>
      </c>
      <c r="B2" s="11" t="s">
        <v>310</v>
      </c>
      <c r="C2" s="12" t="s">
        <v>311</v>
      </c>
      <c r="D2" s="11" t="s">
        <v>311</v>
      </c>
      <c r="E2" s="11" t="s">
        <v>312</v>
      </c>
      <c r="F2" s="11" t="s">
        <v>313</v>
      </c>
      <c r="G2" s="11" t="s">
        <v>314</v>
      </c>
    </row>
    <row r="3" customFormat="false" ht="23.25" hidden="false" customHeight="true" outlineLevel="0" collapsed="false">
      <c r="A3" s="11" t="s">
        <v>315</v>
      </c>
      <c r="B3" s="11" t="s">
        <v>208</v>
      </c>
      <c r="C3" s="12" t="s">
        <v>316</v>
      </c>
      <c r="D3" s="11" t="s">
        <v>316</v>
      </c>
      <c r="E3" s="11" t="s">
        <v>317</v>
      </c>
      <c r="F3" s="11" t="s">
        <v>318</v>
      </c>
      <c r="G3" s="11" t="s">
        <v>319</v>
      </c>
    </row>
    <row r="4" customFormat="false" ht="23.25" hidden="false" customHeight="true" outlineLevel="0" collapsed="false">
      <c r="A4" s="11" t="s">
        <v>320</v>
      </c>
      <c r="B4" s="11" t="s">
        <v>321</v>
      </c>
      <c r="C4" s="12" t="n">
        <v>5890</v>
      </c>
      <c r="D4" s="11" t="s">
        <v>322</v>
      </c>
      <c r="E4" s="11" t="s">
        <v>323</v>
      </c>
      <c r="F4" s="11" t="s">
        <v>324</v>
      </c>
      <c r="G4" s="11" t="s">
        <v>325</v>
      </c>
    </row>
    <row r="5" customFormat="false" ht="15" hidden="false" customHeight="true" outlineLevel="0" collapsed="false">
      <c r="A5" s="11" t="s">
        <v>326</v>
      </c>
      <c r="B5" s="11" t="s">
        <v>274</v>
      </c>
      <c r="C5" s="12" t="s">
        <v>274</v>
      </c>
      <c r="D5" s="11" t="s">
        <v>274</v>
      </c>
      <c r="E5" s="11" t="s">
        <v>327</v>
      </c>
      <c r="F5" s="11" t="s">
        <v>328</v>
      </c>
      <c r="G5" s="11" t="s">
        <v>329</v>
      </c>
    </row>
    <row r="6" customFormat="false" ht="15" hidden="false" customHeight="true" outlineLevel="0" collapsed="false">
      <c r="A6" s="11" t="s">
        <v>330</v>
      </c>
      <c r="B6" s="11" t="s">
        <v>331</v>
      </c>
      <c r="C6" s="12" t="n">
        <v>22558</v>
      </c>
      <c r="D6" s="11" t="n">
        <v>125</v>
      </c>
      <c r="E6" s="11" t="s">
        <v>332</v>
      </c>
      <c r="F6" s="11" t="s">
        <v>333</v>
      </c>
      <c r="G6" s="11" t="s">
        <v>334</v>
      </c>
    </row>
    <row r="7" customFormat="false" ht="15" hidden="false" customHeight="true" outlineLevel="0" collapsed="false">
      <c r="A7" s="11" t="s">
        <v>335</v>
      </c>
      <c r="B7" s="11" t="s">
        <v>274</v>
      </c>
      <c r="C7" s="12" t="s">
        <v>274</v>
      </c>
      <c r="D7" s="11" t="s">
        <v>274</v>
      </c>
      <c r="E7" s="11" t="s">
        <v>263</v>
      </c>
      <c r="F7" s="11" t="s">
        <v>336</v>
      </c>
      <c r="G7" s="11" t="s">
        <v>337</v>
      </c>
    </row>
    <row r="8" customFormat="false" ht="23.25" hidden="false" customHeight="true" outlineLevel="0" collapsed="false">
      <c r="A8" s="11" t="s">
        <v>338</v>
      </c>
      <c r="B8" s="11" t="s">
        <v>274</v>
      </c>
      <c r="C8" s="12" t="s">
        <v>274</v>
      </c>
      <c r="D8" s="11" t="s">
        <v>274</v>
      </c>
      <c r="E8" s="11" t="s">
        <v>339</v>
      </c>
      <c r="F8" s="11" t="s">
        <v>340</v>
      </c>
      <c r="G8" s="11" t="s">
        <v>341</v>
      </c>
    </row>
    <row r="9" customFormat="false" ht="15" hidden="false" customHeight="true" outlineLevel="0" collapsed="false">
      <c r="A9" s="11" t="s">
        <v>342</v>
      </c>
      <c r="B9" s="11" t="s">
        <v>274</v>
      </c>
      <c r="C9" s="12" t="s">
        <v>274</v>
      </c>
      <c r="D9" s="11" t="s">
        <v>274</v>
      </c>
      <c r="E9" s="11" t="s">
        <v>263</v>
      </c>
      <c r="F9" s="11" t="s">
        <v>343</v>
      </c>
      <c r="G9" s="11" t="s">
        <v>344</v>
      </c>
    </row>
    <row r="11" customFormat="false" ht="15" hidden="false" customHeight="true" outlineLevel="0" collapsed="false">
      <c r="A11" s="5" t="s">
        <v>345</v>
      </c>
    </row>
    <row r="12" customFormat="false" ht="15" hidden="false" customHeight="true" outlineLevel="0" collapsed="false">
      <c r="A12" s="6" t="s">
        <v>178</v>
      </c>
      <c r="B12" s="6" t="s">
        <v>346</v>
      </c>
      <c r="C12" s="6" t="s">
        <v>347</v>
      </c>
      <c r="D12" s="6" t="s">
        <v>348</v>
      </c>
    </row>
    <row r="13" customFormat="false" ht="15" hidden="false" customHeight="true" outlineLevel="0" collapsed="false">
      <c r="A13" s="7" t="s">
        <v>320</v>
      </c>
      <c r="B13" s="14" t="n">
        <f aca="false">C4</f>
        <v>5890</v>
      </c>
      <c r="C13" s="15" t="n">
        <v>216</v>
      </c>
      <c r="D13" s="16" t="n">
        <f aca="false">C13/B13</f>
        <v>0.0366723259762309</v>
      </c>
    </row>
    <row r="14" customFormat="false" ht="15" hidden="false" customHeight="true" outlineLevel="0" collapsed="false">
      <c r="A14" s="7" t="s">
        <v>330</v>
      </c>
      <c r="B14" s="14" t="n">
        <f aca="false">C6</f>
        <v>22558</v>
      </c>
      <c r="C14" s="7" t="n">
        <f aca="false">D6</f>
        <v>125</v>
      </c>
      <c r="D14" s="16" t="n">
        <f aca="false">C14/B14</f>
        <v>0.00554127138930756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2" min="2" style="1" width="8"/>
    <col collapsed="false" customWidth="true" hidden="false" outlineLevel="0" max="3" min="3" style="1" width="70"/>
    <col collapsed="false" customWidth="true" hidden="false" outlineLevel="0" max="4" min="4" style="1" width="20"/>
    <col collapsed="false" customWidth="true" hidden="false" outlineLevel="0" max="5" min="5" style="1" width="16"/>
  </cols>
  <sheetData>
    <row r="1" customFormat="false" ht="23.25" hidden="false" customHeight="true" outlineLevel="0" collapsed="false">
      <c r="A1" s="6" t="s">
        <v>349</v>
      </c>
      <c r="B1" s="6" t="s">
        <v>52</v>
      </c>
      <c r="C1" s="6" t="s">
        <v>350</v>
      </c>
      <c r="D1" s="6" t="s">
        <v>351</v>
      </c>
      <c r="E1" s="6" t="s">
        <v>352</v>
      </c>
    </row>
    <row r="2" customFormat="false" ht="23.25" hidden="false" customHeight="true" outlineLevel="0" collapsed="false">
      <c r="A2" s="11" t="s">
        <v>203</v>
      </c>
      <c r="B2" s="17" t="n">
        <v>2023</v>
      </c>
      <c r="C2" s="11" t="s">
        <v>353</v>
      </c>
      <c r="D2" s="11" t="n">
        <f aca="false">COUNTIF(Studies!$H$2:$H$21,"*"&amp;E2&amp;"*")</f>
        <v>12</v>
      </c>
      <c r="E2" s="11" t="s">
        <v>203</v>
      </c>
    </row>
    <row r="3" customFormat="false" ht="15" hidden="false" customHeight="true" outlineLevel="0" collapsed="false">
      <c r="A3" s="11" t="s">
        <v>354</v>
      </c>
      <c r="B3" s="17" t="n">
        <v>1999</v>
      </c>
      <c r="C3" s="11" t="s">
        <v>355</v>
      </c>
      <c r="D3" s="11" t="n">
        <f aca="false">COUNTIF(Studies!$H$2:$H$21,"*"&amp;E3&amp;"*")</f>
        <v>2</v>
      </c>
      <c r="E3" s="11" t="s">
        <v>354</v>
      </c>
    </row>
    <row r="4" customFormat="false" ht="15" hidden="false" customHeight="true" outlineLevel="0" collapsed="false">
      <c r="A4" s="11" t="s">
        <v>356</v>
      </c>
      <c r="B4" s="17" t="n">
        <v>2009</v>
      </c>
      <c r="C4" s="11" t="s">
        <v>357</v>
      </c>
      <c r="D4" s="11" t="n">
        <f aca="false">COUNTIF(Studies!$H$2:$H$21,"*"&amp;E4&amp;"*")</f>
        <v>1</v>
      </c>
      <c r="E4" s="11" t="s">
        <v>356</v>
      </c>
    </row>
    <row r="5" customFormat="false" ht="15" hidden="false" customHeight="true" outlineLevel="0" collapsed="false">
      <c r="A5" s="11" t="s">
        <v>358</v>
      </c>
      <c r="B5" s="17" t="n">
        <v>2015</v>
      </c>
      <c r="C5" s="11" t="s">
        <v>359</v>
      </c>
      <c r="D5" s="11" t="n">
        <f aca="false">COUNTIF(Studies!$H$2:$H$21,"*"&amp;E5&amp;"*")</f>
        <v>2</v>
      </c>
      <c r="E5" s="11" t="s">
        <v>358</v>
      </c>
    </row>
    <row r="6" customFormat="false" ht="15" hidden="false" customHeight="true" outlineLevel="0" collapsed="false">
      <c r="A6" s="11" t="s">
        <v>360</v>
      </c>
      <c r="B6" s="17" t="n">
        <v>2020</v>
      </c>
      <c r="C6" s="11" t="s">
        <v>361</v>
      </c>
      <c r="D6" s="11" t="n">
        <f aca="false">COUNTIF(Studies!$H$2:$H$21,"*"&amp;E6&amp;"*")</f>
        <v>3</v>
      </c>
      <c r="E6" s="11" t="s">
        <v>360</v>
      </c>
    </row>
    <row r="7" customFormat="false" ht="15" hidden="false" customHeight="true" outlineLevel="0" collapsed="false">
      <c r="A7" s="11" t="s">
        <v>362</v>
      </c>
      <c r="B7" s="17" t="n">
        <v>2020</v>
      </c>
      <c r="C7" s="11" t="s">
        <v>363</v>
      </c>
      <c r="D7" s="11" t="n">
        <f aca="false">COUNTIF(Studies!$H$2:$H$21,"*"&amp;E7&amp;"*")</f>
        <v>1</v>
      </c>
      <c r="E7" s="11" t="s">
        <v>362</v>
      </c>
    </row>
    <row r="8" customFormat="false" ht="15" hidden="false" customHeight="true" outlineLevel="0" collapsed="false">
      <c r="A8" s="11" t="s">
        <v>364</v>
      </c>
      <c r="B8" s="17" t="n">
        <v>2018</v>
      </c>
      <c r="C8" s="11" t="s">
        <v>365</v>
      </c>
      <c r="D8" s="11" t="n">
        <f aca="false">COUNTIF(Studies!$H$2:$H$21,"*"&amp;E8&amp;"*")</f>
        <v>2</v>
      </c>
      <c r="E8" s="11" t="s">
        <v>364</v>
      </c>
    </row>
    <row r="9" customFormat="false" ht="15" hidden="false" customHeight="true" outlineLevel="0" collapsed="false">
      <c r="A9" s="11" t="s">
        <v>366</v>
      </c>
      <c r="B9" s="17" t="n">
        <v>2019</v>
      </c>
      <c r="C9" s="11" t="s">
        <v>367</v>
      </c>
      <c r="D9" s="11" t="n">
        <f aca="false">COUNTIF(Studies!$H$2:$H$21,"*"&amp;E9&amp;"*")</f>
        <v>2</v>
      </c>
      <c r="E9" s="11" t="s">
        <v>366</v>
      </c>
    </row>
    <row r="10" customFormat="false" ht="15" hidden="false" customHeight="true" outlineLevel="0" collapsed="false">
      <c r="A10" s="11" t="s">
        <v>368</v>
      </c>
      <c r="B10" s="17" t="n">
        <v>2018</v>
      </c>
      <c r="C10" s="11" t="s">
        <v>369</v>
      </c>
      <c r="D10" s="11" t="n">
        <f aca="false">COUNTIF(Studies!$H$2:$H$21,"*"&amp;E10&amp;"*")</f>
        <v>1</v>
      </c>
      <c r="E10" s="11" t="s">
        <v>368</v>
      </c>
    </row>
    <row r="11" customFormat="false" ht="15" hidden="false" customHeight="true" outlineLevel="0" collapsed="false">
      <c r="A11" s="11" t="s">
        <v>370</v>
      </c>
      <c r="B11" s="17" t="n">
        <v>2017</v>
      </c>
      <c r="C11" s="11" t="s">
        <v>371</v>
      </c>
      <c r="D11" s="11" t="n">
        <f aca="false">COUNTIF(Studies!$H$2:$H$21,"*"&amp;E11&amp;"*")</f>
        <v>1</v>
      </c>
      <c r="E11" s="11" t="s">
        <v>370</v>
      </c>
    </row>
    <row r="13" customFormat="false" ht="15" hidden="false" customHeight="true" outlineLevel="0" collapsed="false">
      <c r="A13" s="3" t="s">
        <v>372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52"/>
    <col collapsed="false" customWidth="true" hidden="false" outlineLevel="0" max="3" min="3" style="1" width="70"/>
    <col collapsed="false" customWidth="true" hidden="false" outlineLevel="0" max="4" min="4" style="1" width="20"/>
    <col collapsed="false" customWidth="true" hidden="false" outlineLevel="0" max="5" min="5" style="1" width="14"/>
  </cols>
  <sheetData>
    <row r="1" customFormat="false" ht="23.25" hidden="false" customHeight="true" outlineLevel="0" collapsed="false">
      <c r="A1" s="6" t="s">
        <v>373</v>
      </c>
      <c r="B1" s="6" t="s">
        <v>374</v>
      </c>
      <c r="C1" s="6" t="s">
        <v>375</v>
      </c>
      <c r="D1" s="6" t="s">
        <v>376</v>
      </c>
      <c r="E1" s="6" t="s">
        <v>377</v>
      </c>
    </row>
    <row r="2" customFormat="false" ht="15" hidden="false" customHeight="true" outlineLevel="0" collapsed="false">
      <c r="A2" s="11" t="n">
        <v>1</v>
      </c>
      <c r="B2" s="11" t="s">
        <v>378</v>
      </c>
      <c r="C2" s="11" t="s">
        <v>379</v>
      </c>
      <c r="D2" s="12" t="s">
        <v>380</v>
      </c>
      <c r="E2" s="11" t="n">
        <f aca="false">LEN(D2)-LEN(SUBSTITUTE(D2,",",""))+1</f>
        <v>3</v>
      </c>
    </row>
    <row r="3" customFormat="false" ht="15" hidden="false" customHeight="true" outlineLevel="0" collapsed="false">
      <c r="A3" s="11" t="n">
        <v>2</v>
      </c>
      <c r="B3" s="11" t="s">
        <v>381</v>
      </c>
      <c r="C3" s="11" t="s">
        <v>382</v>
      </c>
      <c r="D3" s="12" t="s">
        <v>383</v>
      </c>
      <c r="E3" s="11" t="n">
        <f aca="false">LEN(D3)-LEN(SUBSTITUTE(D3,",",""))+1</f>
        <v>3</v>
      </c>
    </row>
    <row r="4" customFormat="false" ht="15" hidden="false" customHeight="true" outlineLevel="0" collapsed="false">
      <c r="A4" s="11" t="n">
        <v>3</v>
      </c>
      <c r="B4" s="11" t="s">
        <v>384</v>
      </c>
      <c r="C4" s="11" t="s">
        <v>385</v>
      </c>
      <c r="D4" s="12" t="s">
        <v>386</v>
      </c>
      <c r="E4" s="11" t="n">
        <f aca="false">LEN(D4)-LEN(SUBSTITUTE(D4,",",""))+1</f>
        <v>4</v>
      </c>
    </row>
    <row r="5" customFormat="false" ht="15" hidden="false" customHeight="true" outlineLevel="0" collapsed="false">
      <c r="A5" s="11" t="n">
        <v>4</v>
      </c>
      <c r="B5" s="11" t="s">
        <v>387</v>
      </c>
      <c r="C5" s="11" t="s">
        <v>388</v>
      </c>
      <c r="D5" s="12" t="s">
        <v>389</v>
      </c>
      <c r="E5" s="11" t="n">
        <f aca="false">LEN(D5)-LEN(SUBSTITUTE(D5,",",""))+1</f>
        <v>3</v>
      </c>
    </row>
    <row r="6" customFormat="false" ht="15" hidden="false" customHeight="true" outlineLevel="0" collapsed="false">
      <c r="A6" s="11" t="n">
        <v>5</v>
      </c>
      <c r="B6" s="11" t="s">
        <v>390</v>
      </c>
      <c r="C6" s="11" t="s">
        <v>391</v>
      </c>
      <c r="D6" s="12" t="s">
        <v>392</v>
      </c>
      <c r="E6" s="11" t="n">
        <f aca="false">LEN(D6)-LEN(SUBSTITUTE(D6,",",""))+1</f>
        <v>5</v>
      </c>
    </row>
    <row r="7" customFormat="false" ht="15" hidden="false" customHeight="true" outlineLevel="0" collapsed="false">
      <c r="A7" s="11" t="n">
        <v>6</v>
      </c>
      <c r="B7" s="11" t="s">
        <v>393</v>
      </c>
      <c r="C7" s="11" t="s">
        <v>394</v>
      </c>
      <c r="D7" s="12" t="s">
        <v>395</v>
      </c>
      <c r="E7" s="11" t="n">
        <f aca="false">LEN(D7)-LEN(SUBSTITUTE(D7,",",""))+1</f>
        <v>4</v>
      </c>
    </row>
    <row r="8" customFormat="false" ht="15" hidden="false" customHeight="true" outlineLevel="0" collapsed="false">
      <c r="A8" s="11" t="n">
        <v>7</v>
      </c>
      <c r="B8" s="11" t="s">
        <v>396</v>
      </c>
      <c r="C8" s="11" t="s">
        <v>397</v>
      </c>
      <c r="D8" s="12" t="s">
        <v>398</v>
      </c>
      <c r="E8" s="11" t="n">
        <f aca="false">LEN(D8)-LEN(SUBSTITUTE(D8,",",""))+1</f>
        <v>4</v>
      </c>
    </row>
    <row r="9" customFormat="false" ht="23.25" hidden="false" customHeight="true" outlineLevel="0" collapsed="false">
      <c r="A9" s="11" t="n">
        <v>8</v>
      </c>
      <c r="B9" s="11" t="s">
        <v>399</v>
      </c>
      <c r="C9" s="11" t="s">
        <v>400</v>
      </c>
      <c r="D9" s="12" t="s">
        <v>401</v>
      </c>
      <c r="E9" s="11" t="n">
        <f aca="false">LEN(D9)-LEN(SUBSTITUTE(D9,",",""))+1</f>
        <v>4</v>
      </c>
    </row>
    <row r="10" customFormat="false" ht="15" hidden="false" customHeight="true" outlineLevel="0" collapsed="false">
      <c r="A10" s="11" t="n">
        <v>9</v>
      </c>
      <c r="B10" s="11" t="s">
        <v>402</v>
      </c>
      <c r="C10" s="11" t="s">
        <v>403</v>
      </c>
      <c r="D10" s="12" t="s">
        <v>404</v>
      </c>
      <c r="E10" s="11" t="n">
        <f aca="false">LEN(D10)-LEN(SUBSTITUTE(D10,",",""))+1</f>
        <v>2</v>
      </c>
    </row>
    <row r="11" customFormat="false" ht="15" hidden="false" customHeight="true" outlineLevel="0" collapsed="false">
      <c r="A11" s="11" t="n">
        <v>10</v>
      </c>
      <c r="B11" s="11" t="s">
        <v>405</v>
      </c>
      <c r="C11" s="11" t="s">
        <v>406</v>
      </c>
      <c r="D11" s="12" t="s">
        <v>407</v>
      </c>
      <c r="E11" s="11" t="n">
        <f aca="false">LEN(D11)-LEN(SUBSTITUTE(D11,",",""))+1</f>
        <v>1</v>
      </c>
    </row>
    <row r="12" customFormat="false" ht="15" hidden="false" customHeight="true" outlineLevel="0" collapsed="false">
      <c r="A12" s="11" t="n">
        <v>11</v>
      </c>
      <c r="B12" s="11" t="s">
        <v>408</v>
      </c>
      <c r="C12" s="11" t="s">
        <v>409</v>
      </c>
      <c r="D12" s="12" t="s">
        <v>410</v>
      </c>
      <c r="E12" s="11" t="n">
        <f aca="false">LEN(D12)-LEN(SUBSTITUTE(D12,",",""))+1</f>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130"/>
    <col collapsed="false" customWidth="true" hidden="false" outlineLevel="0" max="3" min="3" style="1" width="34"/>
  </cols>
  <sheetData>
    <row r="1" customFormat="false" ht="15" hidden="false" customHeight="true" outlineLevel="0" collapsed="false">
      <c r="A1" s="6" t="s">
        <v>58</v>
      </c>
      <c r="B1" s="6" t="s">
        <v>411</v>
      </c>
      <c r="C1" s="6" t="s">
        <v>412</v>
      </c>
    </row>
    <row r="2" customFormat="false" ht="23.25" hidden="false" customHeight="true" outlineLevel="0" collapsed="false">
      <c r="A2" s="11" t="n">
        <v>1</v>
      </c>
      <c r="B2" s="11" t="s">
        <v>413</v>
      </c>
      <c r="C2" s="11" t="s">
        <v>414</v>
      </c>
    </row>
    <row r="3" customFormat="false" ht="23.25" hidden="false" customHeight="true" outlineLevel="0" collapsed="false">
      <c r="A3" s="11" t="n">
        <v>2</v>
      </c>
      <c r="B3" s="11" t="s">
        <v>415</v>
      </c>
      <c r="C3" s="11" t="s">
        <v>416</v>
      </c>
    </row>
    <row r="4" customFormat="false" ht="23.25" hidden="false" customHeight="true" outlineLevel="0" collapsed="false">
      <c r="A4" s="11" t="n">
        <v>3</v>
      </c>
      <c r="B4" s="11" t="s">
        <v>417</v>
      </c>
      <c r="C4" s="11" t="s">
        <v>418</v>
      </c>
    </row>
    <row r="5" customFormat="false" ht="15" hidden="false" customHeight="true" outlineLevel="0" collapsed="false">
      <c r="A5" s="11" t="n">
        <v>4</v>
      </c>
      <c r="B5" s="11" t="s">
        <v>419</v>
      </c>
      <c r="C5" s="11" t="s">
        <v>420</v>
      </c>
    </row>
    <row r="6" customFormat="false" ht="15" hidden="false" customHeight="true" outlineLevel="0" collapsed="false">
      <c r="A6" s="11" t="n">
        <v>5</v>
      </c>
      <c r="B6" s="11" t="s">
        <v>421</v>
      </c>
      <c r="C6" s="11" t="s">
        <v>208</v>
      </c>
    </row>
    <row r="7" customFormat="false" ht="23.25" hidden="false" customHeight="true" outlineLevel="0" collapsed="false">
      <c r="A7" s="11" t="n">
        <v>6</v>
      </c>
      <c r="B7" s="11" t="s">
        <v>422</v>
      </c>
      <c r="C7" s="11" t="s">
        <v>208</v>
      </c>
    </row>
    <row r="8" customFormat="false" ht="23.25" hidden="false" customHeight="true" outlineLevel="0" collapsed="false">
      <c r="A8" s="11" t="n">
        <v>7</v>
      </c>
      <c r="B8" s="11" t="s">
        <v>423</v>
      </c>
      <c r="C8" s="11" t="s">
        <v>424</v>
      </c>
    </row>
    <row r="9" customFormat="false" ht="23.25" hidden="false" customHeight="true" outlineLevel="0" collapsed="false">
      <c r="A9" s="11" t="n">
        <v>8</v>
      </c>
      <c r="B9" s="11" t="s">
        <v>425</v>
      </c>
      <c r="C9" s="11" t="s">
        <v>426</v>
      </c>
    </row>
    <row r="10" customFormat="false" ht="23.25" hidden="false" customHeight="true" outlineLevel="0" collapsed="false">
      <c r="A10" s="11" t="n">
        <v>9</v>
      </c>
      <c r="B10" s="11" t="s">
        <v>427</v>
      </c>
      <c r="C10" s="11" t="s">
        <v>428</v>
      </c>
    </row>
    <row r="11" customFormat="false" ht="15" hidden="false" customHeight="true" outlineLevel="0" collapsed="false">
      <c r="A11" s="11" t="n">
        <v>10</v>
      </c>
      <c r="B11" s="11" t="s">
        <v>429</v>
      </c>
      <c r="C11" s="11" t="s">
        <v>430</v>
      </c>
    </row>
    <row r="12" customFormat="false" ht="15" hidden="false" customHeight="true" outlineLevel="0" collapsed="false">
      <c r="A12" s="11" t="n">
        <v>11</v>
      </c>
      <c r="B12" s="11" t="s">
        <v>431</v>
      </c>
      <c r="C12" s="11" t="s">
        <v>432</v>
      </c>
    </row>
    <row r="13" customFormat="false" ht="15" hidden="false" customHeight="true" outlineLevel="0" collapsed="false">
      <c r="A13" s="11" t="n">
        <v>12</v>
      </c>
      <c r="B13" s="11" t="s">
        <v>433</v>
      </c>
      <c r="C13" s="11" t="s">
        <v>316</v>
      </c>
    </row>
    <row r="14" customFormat="false" ht="23.25" hidden="false" customHeight="true" outlineLevel="0" collapsed="false">
      <c r="A14" s="11" t="n">
        <v>13</v>
      </c>
      <c r="B14" s="11" t="s">
        <v>434</v>
      </c>
      <c r="C14" s="11" t="s">
        <v>435</v>
      </c>
    </row>
    <row r="15" customFormat="false" ht="23.25" hidden="false" customHeight="true" outlineLevel="0" collapsed="false">
      <c r="A15" s="11" t="n">
        <v>14</v>
      </c>
      <c r="B15" s="11" t="s">
        <v>436</v>
      </c>
      <c r="C15" s="11" t="s">
        <v>437</v>
      </c>
    </row>
    <row r="16" customFormat="false" ht="23.25" hidden="false" customHeight="true" outlineLevel="0" collapsed="false">
      <c r="A16" s="11" t="n">
        <v>15</v>
      </c>
      <c r="B16" s="11" t="s">
        <v>438</v>
      </c>
      <c r="C16" s="11" t="s">
        <v>439</v>
      </c>
    </row>
    <row r="17" customFormat="false" ht="23.25" hidden="false" customHeight="true" outlineLevel="0" collapsed="false">
      <c r="A17" s="11" t="n">
        <v>16</v>
      </c>
      <c r="B17" s="11" t="s">
        <v>440</v>
      </c>
      <c r="C17" s="11" t="s">
        <v>441</v>
      </c>
    </row>
    <row r="18" customFormat="false" ht="15" hidden="false" customHeight="true" outlineLevel="0" collapsed="false">
      <c r="A18" s="11" t="n">
        <v>17</v>
      </c>
      <c r="B18" s="11" t="s">
        <v>442</v>
      </c>
      <c r="C18" s="11" t="s">
        <v>443</v>
      </c>
    </row>
    <row r="19" customFormat="false" ht="23.25" hidden="false" customHeight="true" outlineLevel="0" collapsed="false">
      <c r="A19" s="11" t="n">
        <v>18</v>
      </c>
      <c r="B19" s="11" t="s">
        <v>444</v>
      </c>
      <c r="C19" s="11" t="s">
        <v>445</v>
      </c>
    </row>
    <row r="20" customFormat="false" ht="23.25" hidden="false" customHeight="true" outlineLevel="0" collapsed="false">
      <c r="A20" s="11" t="n">
        <v>19</v>
      </c>
      <c r="B20" s="11" t="s">
        <v>446</v>
      </c>
      <c r="C20" s="11" t="s">
        <v>447</v>
      </c>
    </row>
    <row r="21" customFormat="false" ht="23.25" hidden="false" customHeight="true" outlineLevel="0" collapsed="false">
      <c r="A21" s="11" t="n">
        <v>20</v>
      </c>
      <c r="B21" s="11" t="s">
        <v>448</v>
      </c>
      <c r="C21" s="11" t="s">
        <v>449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3" min="2" style="0" width="62"/>
    <col collapsed="false" customWidth="true" hidden="false" outlineLevel="0" max="4" min="4" style="0" width="18"/>
    <col collapsed="false" customWidth="true" hidden="false" outlineLevel="0" max="8" min="5" style="0" width="14"/>
  </cols>
  <sheetData>
    <row r="1" customFormat="false" ht="17.35" hidden="false" customHeight="false" outlineLevel="0" collapsed="false">
      <c r="A1" s="18" t="s">
        <v>450</v>
      </c>
    </row>
    <row r="2" customFormat="false" ht="15" hidden="false" customHeight="false" outlineLevel="0" collapsed="false">
      <c r="A2" s="4" t="s">
        <v>451</v>
      </c>
    </row>
    <row r="4" customFormat="false" ht="15" hidden="false" customHeight="false" outlineLevel="0" collapsed="false">
      <c r="A4" s="19" t="s">
        <v>452</v>
      </c>
    </row>
    <row r="5" customFormat="false" ht="19.5" hidden="false" customHeight="true" outlineLevel="0" collapsed="false">
      <c r="A5" s="20" t="s">
        <v>453</v>
      </c>
      <c r="B5" s="20" t="s">
        <v>454</v>
      </c>
    </row>
    <row r="6" customFormat="false" ht="15.75" hidden="false" customHeight="true" outlineLevel="0" collapsed="false">
      <c r="A6" s="11" t="s">
        <v>169</v>
      </c>
      <c r="B6" s="11" t="s">
        <v>455</v>
      </c>
    </row>
    <row r="7" customFormat="false" ht="42" hidden="false" customHeight="true" outlineLevel="0" collapsed="false">
      <c r="A7" s="11" t="s">
        <v>60</v>
      </c>
      <c r="B7" s="11" t="s">
        <v>456</v>
      </c>
    </row>
    <row r="8" customFormat="false" ht="42" hidden="false" customHeight="true" outlineLevel="0" collapsed="false">
      <c r="A8" s="11" t="s">
        <v>349</v>
      </c>
      <c r="B8" s="11" t="s">
        <v>457</v>
      </c>
    </row>
    <row r="9" customFormat="false" ht="54.75" hidden="false" customHeight="true" outlineLevel="0" collapsed="false">
      <c r="A9" s="11" t="s">
        <v>458</v>
      </c>
      <c r="B9" s="11" t="s">
        <v>459</v>
      </c>
    </row>
    <row r="10" customFormat="false" ht="42" hidden="false" customHeight="true" outlineLevel="0" collapsed="false">
      <c r="A10" s="11" t="s">
        <v>172</v>
      </c>
      <c r="B10" s="11" t="s">
        <v>460</v>
      </c>
    </row>
    <row r="11" customFormat="false" ht="42" hidden="false" customHeight="true" outlineLevel="0" collapsed="false">
      <c r="A11" s="11" t="s">
        <v>461</v>
      </c>
      <c r="B11" s="11" t="s">
        <v>462</v>
      </c>
    </row>
    <row r="12" customFormat="false" ht="54.75" hidden="false" customHeight="true" outlineLevel="0" collapsed="false">
      <c r="A12" s="11" t="s">
        <v>173</v>
      </c>
      <c r="B12" s="11" t="str">
        <f aca="false">"Highest accuracy "&amp;TEXT(MAX(E19:E25),"0.00%")&amp;" ("&amp;INDEX(A19:A25,MATCH(MAX(E19:E25),E19:E25,0))&amp;"). Transformer "&amp;TEXT(E25,"0.00%")&amp;" accuracy and "&amp;TEXT(F25,"0.000")&amp;" macro-F1; GRU "&amp;TEXT(E23,"0.00%")&amp;" and "&amp;TEXT(F23,"0.000")&amp;"; LSTM "&amp;TEXT(E24,"0.00%")&amp;" and "&amp;TEXT(F24,"0.000")&amp;". BruteForce and Web-based are the hardest classes for every model."</f>
        <v>Highest accuracy 75.44% (DNN). Transformer 72.53% accuracy and 0.626 macro-F1; GRU 69.82% and 0.587; LSTM 55.24% and 0.457. BruteForce and Web-based are the hardest classes for every model.</v>
      </c>
    </row>
    <row r="13" customFormat="false" ht="54.75" hidden="false" customHeight="true" outlineLevel="0" collapsed="false">
      <c r="A13" s="11" t="s">
        <v>63</v>
      </c>
      <c r="B13" s="11" t="s">
        <v>463</v>
      </c>
    </row>
    <row r="14" customFormat="false" ht="15.75" hidden="false" customHeight="true" outlineLevel="0" collapsed="false">
      <c r="A14" s="11" t="s">
        <v>174</v>
      </c>
      <c r="B14" s="12" t="s">
        <v>199</v>
      </c>
    </row>
    <row r="15" customFormat="false" ht="42" hidden="false" customHeight="true" outlineLevel="0" collapsed="false">
      <c r="A15" s="11" t="s">
        <v>464</v>
      </c>
      <c r="B15" s="11" t="s">
        <v>465</v>
      </c>
    </row>
    <row r="17" customFormat="false" ht="15" hidden="false" customHeight="false" outlineLevel="0" collapsed="false">
      <c r="A17" s="19" t="s">
        <v>466</v>
      </c>
    </row>
    <row r="18" customFormat="false" ht="34.5" hidden="false" customHeight="true" outlineLevel="0" collapsed="false">
      <c r="A18" s="20" t="s">
        <v>467</v>
      </c>
      <c r="B18" s="20" t="s">
        <v>468</v>
      </c>
      <c r="C18" s="20" t="s">
        <v>469</v>
      </c>
      <c r="D18" s="20" t="s">
        <v>470</v>
      </c>
      <c r="E18" s="20" t="s">
        <v>471</v>
      </c>
      <c r="F18" s="20" t="s">
        <v>472</v>
      </c>
      <c r="G18" s="20" t="s">
        <v>473</v>
      </c>
      <c r="H18" s="20" t="s">
        <v>474</v>
      </c>
    </row>
    <row r="19" customFormat="false" ht="15.75" hidden="false" customHeight="true" outlineLevel="0" collapsed="false">
      <c r="A19" s="11" t="s">
        <v>475</v>
      </c>
      <c r="B19" s="11" t="s">
        <v>476</v>
      </c>
      <c r="C19" s="11" t="s">
        <v>477</v>
      </c>
      <c r="D19" s="21" t="n">
        <v>15720</v>
      </c>
      <c r="E19" s="22" t="n">
        <v>0.7544</v>
      </c>
      <c r="F19" s="23" t="n">
        <v>0.6346</v>
      </c>
      <c r="G19" s="24" t="n">
        <v>19.48</v>
      </c>
      <c r="H19" s="25" t="n">
        <f aca="false">RANK(E19,$E$19:$E$25)</f>
        <v>1</v>
      </c>
    </row>
    <row r="20" customFormat="false" ht="15.75" hidden="false" customHeight="true" outlineLevel="0" collapsed="false">
      <c r="A20" s="11" t="s">
        <v>478</v>
      </c>
      <c r="B20" s="11" t="s">
        <v>479</v>
      </c>
      <c r="C20" s="11" t="s">
        <v>477</v>
      </c>
      <c r="D20" s="21" t="n">
        <v>15720</v>
      </c>
      <c r="E20" s="22" t="n">
        <v>0.7373</v>
      </c>
      <c r="F20" s="23" t="n">
        <v>0.621</v>
      </c>
      <c r="G20" s="24" t="n">
        <v>21.84</v>
      </c>
      <c r="H20" s="25" t="n">
        <f aca="false">RANK(E20,$E$19:$E$25)</f>
        <v>4</v>
      </c>
    </row>
    <row r="21" customFormat="false" ht="15.75" hidden="false" customHeight="true" outlineLevel="0" collapsed="false">
      <c r="A21" s="11" t="s">
        <v>480</v>
      </c>
      <c r="B21" s="11" t="s">
        <v>481</v>
      </c>
      <c r="C21" s="11" t="s">
        <v>477</v>
      </c>
      <c r="D21" s="21" t="n">
        <v>15720</v>
      </c>
      <c r="E21" s="22" t="n">
        <v>0.7508</v>
      </c>
      <c r="F21" s="23" t="n">
        <v>0.6305</v>
      </c>
      <c r="G21" s="24" t="n">
        <v>18.46</v>
      </c>
      <c r="H21" s="25" t="n">
        <f aca="false">RANK(E21,$E$19:$E$25)</f>
        <v>2</v>
      </c>
    </row>
    <row r="22" customFormat="false" ht="28.5" hidden="false" customHeight="true" outlineLevel="0" collapsed="false">
      <c r="A22" s="11" t="s">
        <v>482</v>
      </c>
      <c r="B22" s="11" t="s">
        <v>483</v>
      </c>
      <c r="C22" s="11" t="s">
        <v>484</v>
      </c>
      <c r="D22" s="21" t="n">
        <v>16232</v>
      </c>
      <c r="E22" s="22" t="n">
        <v>0.7407</v>
      </c>
      <c r="F22" s="23" t="n">
        <v>0.6226</v>
      </c>
      <c r="G22" s="24" t="n">
        <v>25.7</v>
      </c>
      <c r="H22" s="25" t="n">
        <f aca="false">RANK(E22,$E$19:$E$25)</f>
        <v>3</v>
      </c>
    </row>
    <row r="23" customFormat="false" ht="42" hidden="false" customHeight="true" outlineLevel="0" collapsed="false">
      <c r="A23" s="11" t="s">
        <v>485</v>
      </c>
      <c r="B23" s="11" t="s">
        <v>486</v>
      </c>
      <c r="C23" s="11" t="s">
        <v>487</v>
      </c>
      <c r="D23" s="21" t="n">
        <v>24904</v>
      </c>
      <c r="E23" s="22" t="n">
        <v>0.6982</v>
      </c>
      <c r="F23" s="23" t="n">
        <v>0.5868</v>
      </c>
      <c r="G23" s="24" t="n">
        <v>668.69</v>
      </c>
      <c r="H23" s="25" t="n">
        <f aca="false">RANK(E23,$E$19:$E$25)</f>
        <v>6</v>
      </c>
    </row>
    <row r="24" customFormat="false" ht="28.5" hidden="false" customHeight="true" outlineLevel="0" collapsed="false">
      <c r="A24" s="11" t="s">
        <v>488</v>
      </c>
      <c r="B24" s="11" t="s">
        <v>489</v>
      </c>
      <c r="C24" s="11" t="s">
        <v>490</v>
      </c>
      <c r="D24" s="21" t="n">
        <v>31944</v>
      </c>
      <c r="E24" s="22" t="n">
        <v>0.5524</v>
      </c>
      <c r="F24" s="23" t="n">
        <v>0.4571</v>
      </c>
      <c r="G24" s="24" t="n">
        <v>173.61</v>
      </c>
      <c r="H24" s="25" t="n">
        <f aca="false">RANK(E24,$E$19:$E$25)</f>
        <v>7</v>
      </c>
    </row>
    <row r="25" customFormat="false" ht="54.75" hidden="false" customHeight="true" outlineLevel="0" collapsed="false">
      <c r="A25" s="11" t="s">
        <v>491</v>
      </c>
      <c r="B25" s="11" t="s">
        <v>492</v>
      </c>
      <c r="C25" s="11" t="s">
        <v>493</v>
      </c>
      <c r="D25" s="21" t="n">
        <v>76808</v>
      </c>
      <c r="E25" s="22" t="n">
        <v>0.7253</v>
      </c>
      <c r="F25" s="23" t="n">
        <v>0.6263</v>
      </c>
      <c r="G25" s="24" t="n">
        <v>3497.91</v>
      </c>
      <c r="H25" s="25" t="n">
        <f aca="false">RANK(E25,$E$19:$E$25)</f>
        <v>5</v>
      </c>
    </row>
    <row r="27" customFormat="false" ht="15" hidden="false" customHeight="false" outlineLevel="0" collapsed="false">
      <c r="A27" s="19" t="s">
        <v>494</v>
      </c>
    </row>
    <row r="28" customFormat="false" ht="34.5" hidden="false" customHeight="true" outlineLevel="0" collapsed="false">
      <c r="A28" s="20" t="s">
        <v>40</v>
      </c>
      <c r="B28" s="20" t="s">
        <v>495</v>
      </c>
      <c r="C28" s="20" t="s">
        <v>496</v>
      </c>
      <c r="D28" s="20" t="s">
        <v>497</v>
      </c>
    </row>
    <row r="29" customFormat="false" ht="15.75" hidden="false" customHeight="true" outlineLevel="0" collapsed="false">
      <c r="A29" s="11" t="str">
        <f aca="false">Summary!A22</f>
        <v>ML / ensembles</v>
      </c>
      <c r="B29" s="11" t="s">
        <v>498</v>
      </c>
      <c r="C29" s="11" t="str">
        <f aca="false">"Covered by "&amp;Summary!B22&amp;" of "&amp;Summary!B4&amp;" corpus studies ("&amp;TEXT(Summary!C22,"0%")&amp;")"</f>
        <v>Covered by 17 of 20 corpus studies (85%)</v>
      </c>
      <c r="D29" s="26" t="n">
        <v>0</v>
      </c>
    </row>
    <row r="30" customFormat="false" ht="15.75" hidden="false" customHeight="true" outlineLevel="0" collapsed="false">
      <c r="A30" s="11" t="str">
        <f aca="false">Summary!A23</f>
        <v>Deep learning</v>
      </c>
      <c r="B30" s="11" t="s">
        <v>499</v>
      </c>
      <c r="C30" s="11" t="str">
        <f aca="false">"Covered by "&amp;Summary!B23&amp;" of "&amp;Summary!B4&amp;" corpus studies ("&amp;TEXT(Summary!C23,"0%")&amp;")"</f>
        <v>Covered by 12 of 20 corpus studies (60%)</v>
      </c>
      <c r="D30" s="26" t="n">
        <v>1</v>
      </c>
    </row>
    <row r="31" customFormat="false" ht="15.75" hidden="false" customHeight="true" outlineLevel="0" collapsed="false">
      <c r="A31" s="11" t="str">
        <f aca="false">Summary!A24</f>
        <v>Explainable AI</v>
      </c>
      <c r="B31" s="11" t="s">
        <v>500</v>
      </c>
      <c r="C31" s="11" t="str">
        <f aca="false">"Covered by "&amp;Summary!B24&amp;" of "&amp;Summary!B4&amp;" corpus studies ("&amp;TEXT(Summary!C24,"0%")&amp;")"</f>
        <v>Covered by 5 of 20 corpus studies (25%)</v>
      </c>
      <c r="D31" s="26" t="n">
        <v>0</v>
      </c>
    </row>
    <row r="32" customFormat="false" ht="15.75" hidden="false" customHeight="true" outlineLevel="0" collapsed="false">
      <c r="A32" s="11" t="str">
        <f aca="false">Summary!A25</f>
        <v>Federated / privacy</v>
      </c>
      <c r="B32" s="11" t="s">
        <v>501</v>
      </c>
      <c r="C32" s="11" t="str">
        <f aca="false">"Covered by "&amp;Summary!B25&amp;" of "&amp;Summary!B4&amp;" corpus studies ("&amp;TEXT(Summary!C25,"0%")&amp;")"</f>
        <v>Covered by 5 of 20 corpus studies (25%)</v>
      </c>
      <c r="D32" s="26" t="n">
        <v>0</v>
      </c>
    </row>
    <row r="33" customFormat="false" ht="15.75" hidden="false" customHeight="true" outlineLevel="0" collapsed="false">
      <c r="A33" s="11" t="str">
        <f aca="false">Summary!A26</f>
        <v>Adversarial robustness</v>
      </c>
      <c r="B33" s="11" t="s">
        <v>502</v>
      </c>
      <c r="C33" s="11" t="str">
        <f aca="false">"Covered by "&amp;Summary!B26&amp;" of "&amp;Summary!B4&amp;" corpus studies ("&amp;TEXT(Summary!C26,"0%")&amp;")"</f>
        <v>Covered by 5 of 20 corpus studies (25%)</v>
      </c>
      <c r="D33" s="26" t="n">
        <v>0</v>
      </c>
    </row>
    <row r="34" customFormat="false" ht="28.5" hidden="false" customHeight="true" outlineLevel="0" collapsed="false">
      <c r="A34" s="11" t="str">
        <f aca="false">Summary!A27</f>
        <v>Class imbalance</v>
      </c>
      <c r="B34" s="11" t="s">
        <v>503</v>
      </c>
      <c r="C34" s="11" t="str">
        <f aca="false">"Covered by "&amp;Summary!B27&amp;" of "&amp;Summary!B4&amp;" corpus studies ("&amp;TEXT(Summary!C27,"0%")&amp;")"</f>
        <v>Covered by 10 of 20 corpus studies (50%)</v>
      </c>
      <c r="D34" s="26" t="n">
        <v>1</v>
      </c>
    </row>
    <row r="35" customFormat="false" ht="28.5" hidden="false" customHeight="true" outlineLevel="0" collapsed="false">
      <c r="A35" s="11" t="str">
        <f aca="false">Summary!A28</f>
        <v>Edge / efficiency</v>
      </c>
      <c r="B35" s="11" t="s">
        <v>504</v>
      </c>
      <c r="C35" s="11" t="str">
        <f aca="false">"Covered by "&amp;Summary!B28&amp;" of "&amp;Summary!B4&amp;" corpus studies ("&amp;TEXT(Summary!C28,"0%")&amp;")"</f>
        <v>Covered by 7 of 20 corpus studies (35%)</v>
      </c>
      <c r="D35" s="26" t="n">
        <v>0</v>
      </c>
    </row>
    <row r="36" customFormat="false" ht="15.75" hidden="false" customHeight="true" outlineLevel="0" collapsed="false">
      <c r="A36" s="11" t="str">
        <f aca="false">Summary!A29</f>
        <v>Multiple datasets / benchmarking</v>
      </c>
      <c r="B36" s="11" t="s">
        <v>505</v>
      </c>
      <c r="C36" s="11" t="str">
        <f aca="false">"Covered by "&amp;Summary!B29&amp;" of "&amp;Summary!B4&amp;" corpus studies ("&amp;TEXT(Summary!C29,"0%")&amp;")"</f>
        <v>Covered by 13 of 20 corpus studies (65%)</v>
      </c>
      <c r="D36" s="26" t="n">
        <v>0</v>
      </c>
    </row>
    <row r="37" customFormat="false" ht="15" hidden="false" customHeight="false" outlineLevel="0" collapsed="false">
      <c r="A37" s="27" t="s">
        <v>175</v>
      </c>
      <c r="B37" s="11"/>
      <c r="C37" s="27" t="str">
        <f aca="false">"Corpus average: "&amp;TEXT(Summary!B16,"0.0")&amp;" themes per study"</f>
        <v>Corpus average: 3.7 themes per study</v>
      </c>
      <c r="D37" s="28" t="n">
        <f aca="false">SUM(D29:D36)</f>
        <v>2</v>
      </c>
    </row>
    <row r="39" customFormat="false" ht="15" hidden="false" customHeight="false" outlineLevel="0" collapsed="false">
      <c r="A39" s="19" t="s">
        <v>506</v>
      </c>
    </row>
    <row r="40" customFormat="false" ht="19.5" hidden="false" customHeight="true" outlineLevel="0" collapsed="false">
      <c r="A40" s="20" t="s">
        <v>507</v>
      </c>
      <c r="B40" s="20" t="s">
        <v>374</v>
      </c>
      <c r="C40" s="20" t="s">
        <v>508</v>
      </c>
      <c r="D40" s="20" t="s">
        <v>509</v>
      </c>
    </row>
    <row r="41" customFormat="false" ht="42" hidden="false" customHeight="true" outlineLevel="0" collapsed="false">
      <c r="A41" s="11" t="str">
        <f aca="false">"Gap "&amp;Gaps!A2</f>
        <v>Gap 1</v>
      </c>
      <c r="B41" s="11" t="str">
        <f aca="false">Gaps!B2</f>
        <v>Standardised CICIoT2023 protocol (label set, splits, metrics)</v>
      </c>
      <c r="C41" s="11" t="s">
        <v>510</v>
      </c>
      <c r="D41" s="12" t="s">
        <v>511</v>
      </c>
    </row>
    <row r="42" customFormat="false" ht="15.75" hidden="false" customHeight="true" outlineLevel="0" collapsed="false">
      <c r="A42" s="11" t="str">
        <f aca="false">"Gap "&amp;Gaps!A3</f>
        <v>Gap 2</v>
      </c>
      <c r="B42" s="11" t="str">
        <f aca="false">Gaps!B3</f>
        <v>Cross-dataset and cross-device generalisation</v>
      </c>
      <c r="C42" s="11" t="s">
        <v>512</v>
      </c>
      <c r="D42" s="12" t="s">
        <v>513</v>
      </c>
    </row>
    <row r="43" customFormat="false" ht="42" hidden="false" customHeight="true" outlineLevel="0" collapsed="false">
      <c r="A43" s="11" t="str">
        <f aca="false">"Gap "&amp;Gaps!A4</f>
        <v>Gap 3</v>
      </c>
      <c r="B43" s="11" t="str">
        <f aca="false">Gaps!B4</f>
        <v>Rare-class detection</v>
      </c>
      <c r="C43" s="11" t="s">
        <v>514</v>
      </c>
      <c r="D43" s="12" t="s">
        <v>511</v>
      </c>
    </row>
    <row r="44" customFormat="false" ht="28.5" hidden="false" customHeight="true" outlineLevel="0" collapsed="false">
      <c r="A44" s="11" t="str">
        <f aca="false">"Gap "&amp;Gaps!A5</f>
        <v>Gap 4</v>
      </c>
      <c r="B44" s="11" t="str">
        <f aca="false">Gaps!B5</f>
        <v>Fair deep vs tree comparisons</v>
      </c>
      <c r="C44" s="11" t="s">
        <v>515</v>
      </c>
      <c r="D44" s="12" t="s">
        <v>513</v>
      </c>
    </row>
    <row r="45" customFormat="false" ht="15.75" hidden="false" customHeight="true" outlineLevel="0" collapsed="false">
      <c r="A45" s="11" t="str">
        <f aca="false">"Gap "&amp;Gaps!A6</f>
        <v>Gap 5</v>
      </c>
      <c r="B45" s="11" t="str">
        <f aca="false">Gaps!B6</f>
        <v>Quantified explainability</v>
      </c>
      <c r="C45" s="11" t="s">
        <v>516</v>
      </c>
      <c r="D45" s="12" t="s">
        <v>513</v>
      </c>
    </row>
    <row r="46" customFormat="false" ht="28.5" hidden="false" customHeight="true" outlineLevel="0" collapsed="false">
      <c r="A46" s="11" t="str">
        <f aca="false">"Gap "&amp;Gaps!A7</f>
        <v>Gap 6</v>
      </c>
      <c r="B46" s="11" t="str">
        <f aca="false">Gaps!B7</f>
        <v>Resource-aware evaluation on edge hardware</v>
      </c>
      <c r="C46" s="11" t="s">
        <v>517</v>
      </c>
      <c r="D46" s="12" t="s">
        <v>518</v>
      </c>
    </row>
    <row r="47" customFormat="false" ht="15.75" hidden="false" customHeight="true" outlineLevel="0" collapsed="false">
      <c r="A47" s="11" t="str">
        <f aca="false">"Gap "&amp;Gaps!A8</f>
        <v>Gap 7</v>
      </c>
      <c r="B47" s="11" t="str">
        <f aca="false">Gaps!B8</f>
        <v>Concept drift and adversarial robustness</v>
      </c>
      <c r="C47" s="11" t="s">
        <v>502</v>
      </c>
      <c r="D47" s="12" t="s">
        <v>513</v>
      </c>
    </row>
    <row r="48" customFormat="false" ht="15.75" hidden="false" customHeight="true" outlineLevel="0" collapsed="false">
      <c r="A48" s="11" t="str">
        <f aca="false">"Gap "&amp;Gaps!A9</f>
        <v>Gap 8</v>
      </c>
      <c r="B48" s="11" t="str">
        <f aca="false">Gaps!B9</f>
        <v>Privacy beyond data locality in federated IDS</v>
      </c>
      <c r="C48" s="11" t="s">
        <v>519</v>
      </c>
      <c r="D48" s="12" t="s">
        <v>513</v>
      </c>
    </row>
    <row r="49" customFormat="false" ht="15.75" hidden="false" customHeight="true" outlineLevel="0" collapsed="false">
      <c r="A49" s="11" t="str">
        <f aca="false">"Gap "&amp;Gaps!A10</f>
        <v>Gap 9</v>
      </c>
      <c r="B49" s="11" t="str">
        <f aca="false">Gaps!B10</f>
        <v>Production and streaming validation</v>
      </c>
      <c r="C49" s="11" t="s">
        <v>520</v>
      </c>
      <c r="D49" s="12" t="s">
        <v>513</v>
      </c>
    </row>
    <row r="50" customFormat="false" ht="15.75" hidden="false" customHeight="true" outlineLevel="0" collapsed="false">
      <c r="A50" s="11" t="str">
        <f aca="false">"Gap "&amp;Gaps!A11</f>
        <v>Gap 10</v>
      </c>
      <c r="B50" s="11" t="str">
        <f aca="false">Gaps!B11</f>
        <v>Measured prevention/response</v>
      </c>
      <c r="C50" s="11" t="s">
        <v>521</v>
      </c>
      <c r="D50" s="12" t="s">
        <v>513</v>
      </c>
    </row>
    <row r="51" customFormat="false" ht="28.5" hidden="false" customHeight="true" outlineLevel="0" collapsed="false">
      <c r="A51" s="11" t="str">
        <f aca="false">"Gap "&amp;Gaps!A12</f>
        <v>Gap 11</v>
      </c>
      <c r="B51" s="11" t="str">
        <f aca="false">Gaps!B12</f>
        <v>Realistic operational benchmarks</v>
      </c>
      <c r="C51" s="11" t="s">
        <v>522</v>
      </c>
      <c r="D51" s="12" t="s">
        <v>518</v>
      </c>
    </row>
    <row r="52" customFormat="false" ht="15" hidden="false" customHeight="false" outlineLevel="0" collapsed="false">
      <c r="A52" s="27" t="s">
        <v>523</v>
      </c>
      <c r="B52" s="27" t="str">
        <f aca="false">"Illustrates: "&amp;COUNTIF(D41:D51,"Illustrates")&amp;"; partly addresses: "&amp;COUNTIF(D41:D51,"Partly addresses")&amp;"; not addressed: "&amp;COUNTIF(D41:D51,"Not addressed")</f>
        <v>Illustrates: 2; partly addresses: 2; not addressed: 7</v>
      </c>
    </row>
    <row r="54" customFormat="false" ht="15" hidden="false" customHeight="false" outlineLevel="0" collapsed="false">
      <c r="A54" s="19" t="s">
        <v>524</v>
      </c>
    </row>
    <row r="55" customFormat="false" ht="15" hidden="false" customHeight="false" outlineLevel="0" collapsed="false">
      <c r="A55" s="4" t="s">
        <v>525</v>
      </c>
    </row>
    <row r="56" customFormat="false" ht="15" hidden="false" customHeight="false" outlineLevel="0" collapsed="false">
      <c r="A56" s="4" t="s">
        <v>526</v>
      </c>
    </row>
    <row r="57" customFormat="false" ht="15" hidden="false" customHeight="false" outlineLevel="0" collapsed="false">
      <c r="A57" s="4" t="s">
        <v>527</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2026-10-14T05:37:47Z</dcterms:created>
  <dc:creator>openpyxl</dc:creator>
  <dc:description/>
  <dc:language>en-US</dc:language>
  <cp:lastModifiedBy/>
  <dcterms:modified xsi:type="dcterms:W3CDTF">2026-10-24T18:51:59Z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