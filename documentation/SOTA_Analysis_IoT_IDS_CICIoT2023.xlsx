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Paper_Summaries" sheetId="3" state="visible" r:id="rId5"/>
    <sheet name="Results_CICIoT2023" sheetId="4" state="visible" r:id="rId6"/>
    <sheet name="SOTA_by_Task" sheetId="5" state="visible" r:id="rId7"/>
    <sheet name="Method_Families" sheetId="6" state="visible" r:id="rId8"/>
    <sheet name="Efficiency" sheetId="7" state="visible" r:id="rId9"/>
    <sheet name="Credibility" sheetId="8" state="visible" r:id="rId10"/>
    <sheet name="No_SOTA_Yet" sheetId="9" state="visible" r:id="rId11"/>
    <sheet name="Studies" sheetId="10" state="visible" r:id="rId12"/>
  </sheets>
  <definedNames>
    <definedName function="false" hidden="true" localSheetId="2" name="_xlnm._FilterDatabase" vbProcedure="false">Paper_Summaries!$A$1:$G$21</definedName>
    <definedName function="false" hidden="true" localSheetId="3" name="_xlnm._FilterDatabase" vbProcedure="false">Results_CICIoT2023!$A$1:$O$14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<sst xmlns="http://schemas.openxmlformats.org/spreadsheetml/2006/main" count="596" uniqueCount="385">
  <si>
    <t xml:space="preserve">SOTA Analysis: ML/DL Intrusion Detection for IoT (CICIoT2023)</t>
  </si>
  <si>
    <t xml:space="preserve">Companion workbook to the SOTA analysis paper. Built from the 20 papers in the literature review.</t>
  </si>
  <si>
    <t xml:space="preserve">Sheets:</t>
  </si>
  <si>
    <t xml:space="preserve">Summary - formula-driven headline statistics and chart (no inputs).</t>
  </si>
  <si>
    <t xml:space="preserve">Results_CICIoT2023 - every CICIoT2023 accuracy figure reported by the experimental studies (inputs in blue).</t>
  </si>
  <si>
    <t xml:space="preserve">SOTA_by_Task - best reported result per task, with caveats.</t>
  </si>
  <si>
    <t xml:space="preserve">Method_Families - boosted trees, deep learning and ensembles, with head-to-head and ensemble-gain calculations.</t>
  </si>
  <si>
    <t xml:space="preserve">Efficiency - latency normalised to microseconds, plus feature-reduction effect.</t>
  </si>
  <si>
    <t xml:space="preserve">Credibility - evidence-quality matrix and score per study.</t>
  </si>
  <si>
    <t xml:space="preserve">No_SOTA_Yet - capabilities with no established state of the art.</t>
  </si>
  <si>
    <t xml:space="preserve">Studies - the 20 included studies.</t>
  </si>
  <si>
    <t xml:space="preserve">Colour legend: blue text = value taken from a paper (input); black text = formula or label.</t>
  </si>
  <si>
    <t xml:space="preserve">Assumptions and caveats:</t>
  </si>
  <si>
    <t xml:space="preserve">1. All figures are as reported by the authors; none were reproduced.</t>
  </si>
  <si>
    <t xml:space="preserve">2. Where a paper gave a bound (e.g. 'over 85%', 'above 99.4%') the bound is entered and Accuracy basis is 'Lower bound'.</t>
  </si>
  <si>
    <t xml:space="preserve">3. Accuracy values are stored as fractions (0.9996 = 99.96%).</t>
  </si>
  <si>
    <t xml:space="preserve">4. Results are not directly comparable: label sets, subsampling and rebalancing differ (see the Caveat column).</t>
  </si>
  <si>
    <t xml:space="preserve">5. 'Not recorded' means the paper text I read did not state the detail; it is not a finding that the paper omitted it.</t>
  </si>
  <si>
    <t xml:space="preserve">6. Thirteen of the 20 papers were read from extracted text focusing on abstracts, methods, results and conclusions.</t>
  </si>
  <si>
    <t xml:space="preserve">7. Mishra &amp; Reddy (2026) is a preprint and Mughogho (2025) an MSc project; Salakhutdinov has no stated venue.</t>
  </si>
  <si>
    <t xml:space="preserve">8. Latency units differ between papers (microseconds per sample vs milliseconds per detection); see Efficiency.</t>
  </si>
  <si>
    <t xml:space="preserve">Summary: CICIoT2023 reported accuracy</t>
  </si>
  <si>
    <t xml:space="preserve">Statistic</t>
  </si>
  <si>
    <t xml:space="preserve">Value</t>
  </si>
  <si>
    <t xml:space="preserve">Reported results entered</t>
  </si>
  <si>
    <t xml:space="preserve">Distinct studies</t>
  </si>
  <si>
    <t xml:space="preserve">Highest accuracy</t>
  </si>
  <si>
    <t xml:space="preserve">Lowest accuracy</t>
  </si>
  <si>
    <t xml:space="preserve">Spread (percentage points)</t>
  </si>
  <si>
    <t xml:space="preserve">Median accuracy</t>
  </si>
  <si>
    <t xml:space="preserve">Results with natural-distribution test</t>
  </si>
  <si>
    <t xml:space="preserve">Lowest accuracy among natural-distribution results</t>
  </si>
  <si>
    <t xml:space="preserve">Highest accuracy among natural-distribution results</t>
  </si>
  <si>
    <t xml:space="preserve">Results at or above 99%</t>
  </si>
  <si>
    <t xml:space="preserve">Share of results at or above 99%</t>
  </si>
  <si>
    <t xml:space="preserve">Highest reported accuracy by task</t>
  </si>
  <si>
    <t xml:space="preserve">Task</t>
  </si>
  <si>
    <t xml:space="preserve">Study</t>
  </si>
  <si>
    <t xml:space="preserve">Binary</t>
  </si>
  <si>
    <t xml:space="preserve">8-class</t>
  </si>
  <si>
    <t xml:space="preserve">34-class</t>
  </si>
  <si>
    <t xml:space="preserve">20-class</t>
  </si>
  <si>
    <t xml:space="preserve">6-class</t>
  </si>
  <si>
    <t xml:space="preserve">Multiclass (other)</t>
  </si>
  <si>
    <t xml:space="preserve">Note: '8-class' and '34-class' entries for Almahaqeri et al. are lower bounds (paper states accuracy exceeds 99.4%).</t>
  </si>
  <si>
    <t xml:space="preserve">ID</t>
  </si>
  <si>
    <t xml:space="preserve">Year</t>
  </si>
  <si>
    <t xml:space="preserve">Aim</t>
  </si>
  <si>
    <t xml:space="preserve">Method and data</t>
  </si>
  <si>
    <t xml:space="preserve">Main results</t>
  </si>
  <si>
    <t xml:space="preserve">Main limitation</t>
  </si>
  <si>
    <t xml:space="preserve">Poltoratskyi &amp; Gavrylenko</t>
  </si>
  <si>
    <t xml:space="preserve">Review the evolution of IDS from 2020 to 2025.</t>
  </si>
  <si>
    <t xml:space="preserve">Taxonomy by detection method, deployment, data source and response; analysis of modern datasets (ROAD, Edge-IIoT-2022, CICIoT2023, CICIoMT2024, CREMEv2, RT-IoT2022) and of ML, DL, hybrid and federated approaches.</t>
  </si>
  <si>
    <t xml:space="preserve">Accuracy above 98% is common on benchmarks, but imbalance, zero-day detection, scalability and privacy remain open; recommends MCC, F1, AUC-PR and operational metrics.</t>
  </si>
  <si>
    <t xml:space="preserve">Narrative synthesis; no screening counts reported.</t>
  </si>
  <si>
    <t xml:space="preserve">Rivandi &amp; Oskouei</t>
  </si>
  <si>
    <t xml:space="preserve">Detect attacks in mobile social (ad hoc) networks.</t>
  </si>
  <si>
    <t xml:space="preserve">Social-network metrics (betweenness, degree) in ego networks with a normal profile and a two-standard-deviation threshold; NS2 simulation, 30 nodes, AODV, four attacks (packet drop, black hole, sleep deprivation, TCP SYN).</t>
  </si>
  <si>
    <t xml:space="preserve">Single-node detection 99.8-99.9%; detection delay 0.424 s vs 1.051 s for an Apriori-based IDS; fewer rules.</t>
  </si>
  <si>
    <t xml:space="preserve">Small simulation; no IoT benchmark data; multi-node detection only 40-61%.</t>
  </si>
  <si>
    <t xml:space="preserve">Meena &amp; Indian</t>
  </si>
  <si>
    <t xml:space="preserve">Compare IDS methods across datasets with an enhanced LSTM.</t>
  </si>
  <si>
    <t xml:space="preserve">Two LSTM layers of 100 units, flatten and softmax output, 20 epochs, Adam; compared with logistic regression, AdaBoost, DNN, RNN on KDD-Cup'99, NSL-KDD, UNSW-NB15, CICIoT2023.</t>
  </si>
  <si>
    <t xml:space="preserve">98.58% accuracy on CICIoT2023 (34 classes) vs 98.26% DNN and 98.25% RNN.</t>
  </si>
  <si>
    <t xml:space="preserve">Figures differ between tables; small margin over simple DL baselines.</t>
  </si>
  <si>
    <t xml:space="preserve">Kwari &amp; Rajkumar</t>
  </si>
  <si>
    <t xml:space="preserve">Evaluate a lightweight soft-voting ensemble under natural imbalance.</t>
  </si>
  <si>
    <t xml:space="preserve">Logistic regression, random forest and AdaBoost; 100,000 CICIoT2023 samples (80,000 train, 20,000 test); no resampling.</t>
  </si>
  <si>
    <t xml:space="preserve">76.88% accuracy; macro-F1 0.54 (weighted F1 0.74); flooding and Mirai classes near F1 1.00; rare classes 0.00.</t>
  </si>
  <si>
    <t xml:space="preserve">Subset, single split, no mitigation tested.</t>
  </si>
  <si>
    <t xml:space="preserve">Salakhutdinov</t>
  </si>
  <si>
    <t xml:space="preserve">n.d.</t>
  </si>
  <si>
    <t xml:space="preserve">Critically review AI and DL for IoT network intrusion detection.</t>
  </si>
  <si>
    <t xml:space="preserve">Targeted review of architectures, learning strategies and datasets (N-BaIoT, Bot-IoT, TON_IoT, Edge-IIoTset, CICIoT2023).</t>
  </si>
  <si>
    <t xml:space="preserve">Conceptual framework separating anomaly detection from intrusion classification, adding explainability, decision support and governed adaptation.</t>
  </si>
  <si>
    <t xml:space="preserve">Framework not experimentally validated; venue not stated.</t>
  </si>
  <si>
    <t xml:space="preserve">Imran et al.</t>
  </si>
  <si>
    <t xml:space="preserve">An explainable IDS comparing six models.</t>
  </si>
  <si>
    <t xml:space="preserve">Decision tree, random forest, XGBoost, CNN, LSTM, Transformer on 18,000 samples with six harmonised classes from CICIoT2023 and IoT-23; SHAP and LIME.</t>
  </si>
  <si>
    <t xml:space="preserve">LSTM best: 96.02% accuracy, F1 94.69%, ROC-AUC 0.97; top features flow duration, packet rate, bytes per second.</t>
  </si>
  <si>
    <t xml:space="preserve">Small sample; qualitative XAI evaluation; some text inconsistencies.</t>
  </si>
  <si>
    <t xml:space="preserve">Hajjouz &amp; Avksentieva</t>
  </si>
  <si>
    <t xml:space="preserve">Detect DoS, DDoS and Mirai subtypes.</t>
  </si>
  <si>
    <t xml:space="preserve">Full CICIoT2023 (45.8 million flows); Spearman clustering to 23 features; class weights; CatBoost; six-fold stratified validation; SHAP.</t>
  </si>
  <si>
    <t xml:space="preserve">99.96% accuracy, precision, recall and F1 on 20 classes; 7.16e-07 s per flow.</t>
  </si>
  <si>
    <t xml:space="preserve">Excludes other attack families; macro-F1 not reported.</t>
  </si>
  <si>
    <t xml:space="preserve">Winanto &amp; Idris</t>
  </si>
  <si>
    <t xml:space="preserve">Review adversarial robustness of DL-based IDS.</t>
  </si>
  <si>
    <t xml:space="preserve">PRISMA 2020; 5,890 records, 252 full texts, 216 studies (2020 to March 2026).</t>
  </si>
  <si>
    <t xml:space="preserve">FGSM in 76.9% of studies; adversarial training 61.6%; black-box attacks and certified defences rare; CICIoT2023 under 5%.</t>
  </si>
  <si>
    <t xml:space="preserve">Single-reviewer screening calibrated on a 50-record sample (kappa 0.81).</t>
  </si>
  <si>
    <t xml:space="preserve">Erskine</t>
  </si>
  <si>
    <t xml:space="preserve">A combined detection and prevention model.</t>
  </si>
  <si>
    <t xml:space="preserve">Deep-learning MLP (DLMIDPSM) trained on over 80% of CICIoT2023.</t>
  </si>
  <si>
    <t xml:space="preserve">Accuracy above 85%; 99% precision on Mirai traffic.</t>
  </si>
  <si>
    <t xml:space="preserve">Prevention judged by confusion-matrix values, not a blocking test.</t>
  </si>
  <si>
    <t xml:space="preserve">Diana et al.</t>
  </si>
  <si>
    <t xml:space="preserve">Overview of IDS for network security.</t>
  </si>
  <si>
    <t xml:space="preserve">Review of architectures, detection techniques, datasets and deployment in cloud, virtualised, IoT and industrial networks.</t>
  </si>
  <si>
    <t xml:space="preserve">Scalability and false alarms remain open; AI/ML and blockchain are promising directions.</t>
  </si>
  <si>
    <t xml:space="preserve">Narrative review.</t>
  </si>
  <si>
    <t xml:space="preserve">Yaras &amp; Dener</t>
  </si>
  <si>
    <t xml:space="preserve">Detect DDoS attacks in a big-data setting.</t>
  </si>
  <si>
    <t xml:space="preserve">Hybrid 1D-CNN + LSTM in PySpark with correlation-based feature reduction on CICIoT2023 and TON_IoT; compared with ten algorithms.</t>
  </si>
  <si>
    <t xml:space="preserve">99.995% binary and 99.96% multiclass on CICIoT2023; 98.75% binary on TON_IoT.</t>
  </si>
  <si>
    <t xml:space="preserve">Long training on large data; balancing not recorded.</t>
  </si>
  <si>
    <t xml:space="preserve">Mughogho</t>
  </si>
  <si>
    <t xml:space="preserve">An ML-based IoT IDS using an ensemble.</t>
  </si>
  <si>
    <t xml:space="preserve">Mutual-information feature selection; decision tree, random forest, XGBoost and soft voting on CICIoT2023.</t>
  </si>
  <si>
    <t xml:space="preserve">99.80% binary and 99.25% multiclass for the ensemble; members correctly pass only 89-93% of benign flows in binary detection.</t>
  </si>
  <si>
    <t xml:space="preserve">MSc project; gains over members only 0.1-0.3 points.</t>
  </si>
  <si>
    <t xml:space="preserve">Ahmed et al.</t>
  </si>
  <si>
    <t xml:space="preserve">Systematic review of ML-based IDS.</t>
  </si>
  <si>
    <t xml:space="preserve">PRISMA; 22,558 records, 125 papers (January 2022 to May 2025).</t>
  </si>
  <si>
    <t xml:space="preserve">Five themes (ensemble/hybrid, context-specific, data-centric, deep architectures, trustworthiness); about 2% use XAI, 4% test robustness, none validates in production.</t>
  </si>
  <si>
    <t xml:space="preserve">Three databases searched.</t>
  </si>
  <si>
    <t xml:space="preserve">Bunko et al.</t>
  </si>
  <si>
    <t xml:space="preserve">Survey privacy-preserving federated learning for IDS.</t>
  </si>
  <si>
    <t xml:space="preserve">Review of FL-IDS work and protections such as encryption, differential privacy and secure aggregation.</t>
  </si>
  <si>
    <t xml:space="preserve">Most work only keeps raw data local; inference and poisoning attacks remain.</t>
  </si>
  <si>
    <t xml:space="preserve">Survey, no experiments.</t>
  </si>
  <si>
    <t xml:space="preserve">Mondragon et al.</t>
  </si>
  <si>
    <t xml:space="preserve">A standard benchmark for flow-based IDS.</t>
  </si>
  <si>
    <t xml:space="preserve">14 datasets with fixed splits and seven algorithm categories compared by macro-F1.</t>
  </si>
  <si>
    <t xml:space="preserve">CFC best overall, followed by LCCDE and a fully connected network; LITNET (real traffic) gives the lowest scores.</t>
  </si>
  <si>
    <t xml:space="preserve">RBM and GNN methods limited by tuning cost; no single recommended subset.</t>
  </si>
  <si>
    <t xml:space="preserve">Almahaqeri et al.</t>
  </si>
  <si>
    <t xml:space="preserve">Efficient gradient boosting for edge IDS.</t>
  </si>
  <si>
    <t xml:space="preserve">XGBoost, LightGBM, CatBoost on CICIoT2023 for binary, 8-class and 34-class tasks; stratified undersampling; gain-based selection (46 to 23 features).</t>
  </si>
  <si>
    <t xml:space="preserve">XGBoost 99.61% accuracy and 0.995 macro-F1 binary at 0.355 microseconds per sample; latency cut 30-51%.</t>
  </si>
  <si>
    <t xml:space="preserve">Undersampled evaluation; single dataset; flow-level only.</t>
  </si>
  <si>
    <t xml:space="preserve">Khan et al.</t>
  </si>
  <si>
    <t xml:space="preserve">A resource-efficient IoT IDS.</t>
  </si>
  <si>
    <t xml:space="preserve">BGL-RID (Boruta, greedy forward selection, SMOTE, LightGBM) on TON_IoT, a Raspberry Pi dataset, CICIDS2018 and CICIoT2023.</t>
  </si>
  <si>
    <t xml:space="preserve">98.88% on CICIoT2023; 99.94% CICIDS2018; 99.91% Raspberry Pi; 99.72% binary and 98.94% multiclass on TON_IoT; best efficiency ratio.</t>
  </si>
  <si>
    <t xml:space="preserve">SMOTE; small abstract/conclusion mismatch.</t>
  </si>
  <si>
    <t xml:space="preserve">Mallidi &amp; Ramisetty</t>
  </si>
  <si>
    <t xml:space="preserve">Review training and deployment strategies for AI-based IoT IDS.</t>
  </si>
  <si>
    <t xml:space="preserve">Centralised, distributed and federated training; cloud, fog and edge deployment; attack taxonomy, datasets and metrics.</t>
  </si>
  <si>
    <t xml:space="preserve">FL improves scalability and privacy; hybrid deployment balances resources.</t>
  </si>
  <si>
    <t xml:space="preserve">Review only.</t>
  </si>
  <si>
    <t xml:space="preserve">Hozouri et al.</t>
  </si>
  <si>
    <t xml:space="preserve">Survey IDS and ML/DL techniques.</t>
  </si>
  <si>
    <t xml:space="preserve">IDS types and architectures, with CIC-IDS2017, KDD-Cup'99 and UNSW-NB15.</t>
  </si>
  <si>
    <t xml:space="preserve">DL improves detection of complex attacks; dependence on labelled data and class imbalance are key challenges.</t>
  </si>
  <si>
    <t xml:space="preserve">Relies on legacy datasets.</t>
  </si>
  <si>
    <t xml:space="preserve">Mishra &amp; Reddy</t>
  </si>
  <si>
    <t xml:space="preserve">A federated hybrid DL framework for IoT IDS.</t>
  </si>
  <si>
    <t xml:space="preserve">N-BaIoT, CICIoT2023, BoT-IoT; preprocessing, balancing and individual-dataset training with CNN, LSTM, BiLSTM, attention, tiny Transformer, random forest, XGBoost, deep-feature XGBoost.</t>
  </si>
  <si>
    <t xml:space="preserve">XGBoost-based models strongest (0.921 accuracy, 0.858 F1, macro-averaged); CICIoT2023 hardest multiclass setting.</t>
  </si>
  <si>
    <t xml:space="preserve">Preprint; federated stage not yet run.</t>
  </si>
  <si>
    <t xml:space="preserve">Figures are as reported by the authors; blue = entered from the papers. Thirteen papers were read from extracted text focusing on abstracts, methods, results and conclusions.</t>
  </si>
  <si>
    <t xml:space="preserve">Label set</t>
  </si>
  <si>
    <t xml:space="preserve">Samples</t>
  </si>
  <si>
    <t xml:space="preserve">Rebalancing</t>
  </si>
  <si>
    <t xml:space="preserve">Best model</t>
  </si>
  <si>
    <t xml:space="preserve">Accuracy</t>
  </si>
  <si>
    <t xml:space="preserve">Accuracy basis</t>
  </si>
  <si>
    <t xml:space="preserve">Macro-F1</t>
  </si>
  <si>
    <t xml:space="preserve">Natural-distribution test</t>
  </si>
  <si>
    <t xml:space="preserve">Caveat</t>
  </si>
  <si>
    <t xml:space="preserve">Chart label</t>
  </si>
  <si>
    <t xml:space="preserve">Rank</t>
  </si>
  <si>
    <t xml:space="preserve">34 classes</t>
  </si>
  <si>
    <t xml:space="preserve">None</t>
  </si>
  <si>
    <t xml:space="preserve">Soft-voting (LR, RF, AdaBoost)</t>
  </si>
  <si>
    <t xml:space="preserve">Exact</t>
  </si>
  <si>
    <t xml:space="preserve">Yes</t>
  </si>
  <si>
    <t xml:space="preserve">Subset; single split; rare classes F1 = 0</t>
  </si>
  <si>
    <t xml:space="preserve">Not stated</t>
  </si>
  <si>
    <t xml:space="preserve">Not recorded</t>
  </si>
  <si>
    <t xml:space="preserve">DLMLP (DLMIDPSM)</t>
  </si>
  <si>
    <t xml:space="preserve">Lower bound</t>
  </si>
  <si>
    <t xml:space="preserve">Paper says 'above 85%'; 99% precision on Mirai</t>
  </si>
  <si>
    <t xml:space="preserve">6 harmonised classes</t>
  </si>
  <si>
    <t xml:space="preserve">LSTM</t>
  </si>
  <si>
    <t xml:space="preserve">CICIoT2023 + IoT-23 merged; F1 0.9469</t>
  </si>
  <si>
    <t xml:space="preserve">Enhanced LSTM</t>
  </si>
  <si>
    <t xml:space="preserve">Plain DNN 0.9826; table values inconsistent elsewhere in paper</t>
  </si>
  <si>
    <t xml:space="preserve">Multiclass</t>
  </si>
  <si>
    <t xml:space="preserve">SMOTE</t>
  </si>
  <si>
    <t xml:space="preserve">BGL-RID (LightGBM)</t>
  </si>
  <si>
    <t xml:space="preserve">SMOTE applied; efficiency ratio reported</t>
  </si>
  <si>
    <t xml:space="preserve">Soft-voting (DT, RF, XGBoost)</t>
  </si>
  <si>
    <t xml:space="preserve">MSc project; DT 0.9911</t>
  </si>
  <si>
    <t xml:space="preserve">Stratified undersampling</t>
  </si>
  <si>
    <t xml:space="preserve">XGBoost / gradient boosting</t>
  </si>
  <si>
    <t xml:space="preserve">No</t>
  </si>
  <si>
    <t xml:space="preserve">Paper says accuracy exceeds 99.4% across tasks; undersampled test</t>
  </si>
  <si>
    <t xml:space="preserve">8 attack families</t>
  </si>
  <si>
    <t xml:space="preserve">Benign vs attack</t>
  </si>
  <si>
    <t xml:space="preserve">Benign recall of members 89-93%</t>
  </si>
  <si>
    <t xml:space="preserve">XGBoost</t>
  </si>
  <si>
    <t xml:space="preserve">0.355 microseconds per sample</t>
  </si>
  <si>
    <t xml:space="preserve">1D-CNN + LSTM (PySpark)</t>
  </si>
  <si>
    <t xml:space="preserve">Class count not recorded</t>
  </si>
  <si>
    <t xml:space="preserve">20 classes (DoS, DDoS, Mirai, benign)</t>
  </si>
  <si>
    <t xml:space="preserve">Class weights</t>
  </si>
  <si>
    <t xml:space="preserve">CatBoost</t>
  </si>
  <si>
    <t xml:space="preserve">Stratified split; six-fold validation; macro-F1 not reported</t>
  </si>
  <si>
    <t xml:space="preserve">Subset and balancing not recorded</t>
  </si>
  <si>
    <t xml:space="preserve">Highest reported accuracy</t>
  </si>
  <si>
    <t xml:space="preserve">Study and model</t>
  </si>
  <si>
    <t xml:space="preserve">Setup caveat</t>
  </si>
  <si>
    <t xml:space="preserve">Comparable to real traffic?</t>
  </si>
  <si>
    <t xml:space="preserve">Yaras &amp; Dener (2024), 1D-CNN + LSTM</t>
  </si>
  <si>
    <t xml:space="preserve">Unclear</t>
  </si>
  <si>
    <t xml:space="preserve">Mughogho (2025), soft-voting ensemble</t>
  </si>
  <si>
    <t xml:space="preserve">Benign-class recall of members only 89-93%</t>
  </si>
  <si>
    <t xml:space="preserve">Almahaqeri et al. (2026), XGBoost (macro-F1 0.995)</t>
  </si>
  <si>
    <t xml:space="preserve">Undersampled evaluation</t>
  </si>
  <si>
    <t xml:space="preserve">8-class (attack family)</t>
  </si>
  <si>
    <t xml:space="preserve">Almahaqeri et al. (2026), gradient boosting (lower bound)</t>
  </si>
  <si>
    <t xml:space="preserve">34-class (fine-grained)</t>
  </si>
  <si>
    <t xml:space="preserve">Meena &amp; Indian (2025), enhanced LSTM</t>
  </si>
  <si>
    <t xml:space="preserve">Subset of about 2.54 million records</t>
  </si>
  <si>
    <t xml:space="preserve">20-class (DoS, DDoS, Mirai, benign)</t>
  </si>
  <si>
    <t xml:space="preserve">Hajjouz &amp; Avksentieva (2024), CatBoost</t>
  </si>
  <si>
    <t xml:space="preserve">Full 45.8 million flows; stratified split; six-fold validation</t>
  </si>
  <si>
    <t xml:space="preserve">Closest</t>
  </si>
  <si>
    <t xml:space="preserve">34-class, natural imbalance</t>
  </si>
  <si>
    <t xml:space="preserve">Kwari &amp; Rajkumar (2025), soft-voting ensemble (macro-F1 0.54)</t>
  </si>
  <si>
    <t xml:space="preserve">100,000-sample subset; no rebalancing</t>
  </si>
  <si>
    <t xml:space="preserve">Imran et al. (2026), LSTM</t>
  </si>
  <si>
    <t xml:space="preserve">18,000 samples from two datasets</t>
  </si>
  <si>
    <t xml:space="preserve">Family</t>
  </si>
  <si>
    <t xml:space="preserve">Best reported result</t>
  </si>
  <si>
    <t xml:space="preserve">Typical cost</t>
  </si>
  <si>
    <t xml:space="preserve">Evidence note</t>
  </si>
  <si>
    <t xml:space="preserve">Boosted trees + feature selection</t>
  </si>
  <si>
    <t xml:space="preserve">99.96% (20 classes); 99.61% binary; 98.88% multiclass</t>
  </si>
  <si>
    <t xml:space="preserve">Hajjouz &amp; Avksentieva; Almahaqeri et al.; Khan et al.</t>
  </si>
  <si>
    <t xml:space="preserve">About 0.36-0.72 microseconds per sample; 23 features</t>
  </si>
  <si>
    <t xml:space="preserve">Most consistent top performers; features halved with at most 0.014 point accuracy change</t>
  </si>
  <si>
    <t xml:space="preserve">Deep learning (CNN/LSTM hybrids)</t>
  </si>
  <si>
    <t xml:space="preserve">99.995% binary; 99.96% multiclass; 98.58% on 34 classes</t>
  </si>
  <si>
    <t xml:space="preserve">Yaras &amp; Dener; Meena &amp; Indian</t>
  </si>
  <si>
    <t xml:space="preserve">8-95 ms per detection in Imran et al. (LSTM 78 ms)</t>
  </si>
  <si>
    <t xml:space="preserve">Strong, but advantage clear mainly against weak baselines</t>
  </si>
  <si>
    <t xml:space="preserve">Voting ensembles</t>
  </si>
  <si>
    <t xml:space="preserve">76.88% (34 classes); 99.80% binary</t>
  </si>
  <si>
    <t xml:space="preserve">Kwari &amp; Rajkumar; Mughogho</t>
  </si>
  <si>
    <t xml:space="preserve">Low</t>
  </si>
  <si>
    <t xml:space="preserve">Small, consistent gains over members; effect smaller than label-set or rebalancing effect</t>
  </si>
  <si>
    <t xml:space="preserve">Head-to-head comparisons (accuracy as reported)</t>
  </si>
  <si>
    <t xml:space="preserve">Deep model</t>
  </si>
  <si>
    <t xml:space="preserve">Deep accuracy</t>
  </si>
  <si>
    <t xml:space="preserve">Tree model</t>
  </si>
  <si>
    <t xml:space="preserve">Tree accuracy</t>
  </si>
  <si>
    <t xml:space="preserve">Deep minus tree (points)</t>
  </si>
  <si>
    <t xml:space="preserve">Winner</t>
  </si>
  <si>
    <t xml:space="preserve">Imran et al. (2026): 6 classes, 18k samples</t>
  </si>
  <si>
    <t xml:space="preserve">Mishra &amp; Reddy (2026): macro avg, 3 datasets (preprint)</t>
  </si>
  <si>
    <t xml:space="preserve">Hybrid CNN-BiLSTM-attention-Transformer</t>
  </si>
  <si>
    <t xml:space="preserve">Hybrid deep-feature XGBoost</t>
  </si>
  <si>
    <t xml:space="preserve">Ensemble gain over best single member</t>
  </si>
  <si>
    <t xml:space="preserve">Study and task</t>
  </si>
  <si>
    <t xml:space="preserve">Ensemble accuracy</t>
  </si>
  <si>
    <t xml:space="preserve">Best member accuracy</t>
  </si>
  <si>
    <t xml:space="preserve">Gain (points)</t>
  </si>
  <si>
    <t xml:space="preserve">Kwari &amp; Rajkumar (2025), 34 classes</t>
  </si>
  <si>
    <t xml:space="preserve">Mughogho (2025), binary</t>
  </si>
  <si>
    <t xml:space="preserve">Mughogho (2025), multiclass</t>
  </si>
  <si>
    <t xml:space="preserve">Average ensemble gain (points)</t>
  </si>
  <si>
    <t xml:space="preserve">Note: Mughogho binary best member = decision tree (0.9969); multiclass best member = decision tree (0.9911); Kwari best member = logistic regression (0.7515).</t>
  </si>
  <si>
    <t xml:space="preserve">Model</t>
  </si>
  <si>
    <t xml:space="preserve">Reported value</t>
  </si>
  <si>
    <t xml:space="preserve">Unit (us / ms / s)</t>
  </si>
  <si>
    <t xml:space="preserve">Value in microseconds</t>
  </si>
  <si>
    <t xml:space="preserve">Relative to fastest in its group</t>
  </si>
  <si>
    <t xml:space="preserve">Basis / caveat</t>
  </si>
  <si>
    <t xml:space="preserve">Almahaqeri et al. (2026)</t>
  </si>
  <si>
    <t xml:space="preserve">XGBoost, 23 features</t>
  </si>
  <si>
    <t xml:space="preserve">us</t>
  </si>
  <si>
    <t xml:space="preserve">Per sample, binary, batch evaluation</t>
  </si>
  <si>
    <t xml:space="preserve">Hajjouz &amp; Avksentieva (2024)</t>
  </si>
  <si>
    <t xml:space="preserve">CatBoost, 23 features</t>
  </si>
  <si>
    <t xml:space="preserve">s</t>
  </si>
  <si>
    <t xml:space="preserve">Per flow; total test time 9.84 s</t>
  </si>
  <si>
    <t xml:space="preserve">Imran et al. (2026)</t>
  </si>
  <si>
    <t xml:space="preserve">Decision tree</t>
  </si>
  <si>
    <t xml:space="preserve">ms</t>
  </si>
  <si>
    <t xml:space="preserve">Detection time (different measure)</t>
  </si>
  <si>
    <t xml:space="preserve">Random forest</t>
  </si>
  <si>
    <t xml:space="preserve">CNN</t>
  </si>
  <si>
    <t xml:space="preserve">Transformer</t>
  </si>
  <si>
    <t xml:space="preserve">Caution: the microsecond figures (rows 2-3) are per-sample times in batch evaluation; Imran et al. report per-detection times in ms. Compare within each group, not across them.</t>
  </si>
  <si>
    <t xml:space="preserve">Feature-reduction effect (Almahaqeri et al., 2026)</t>
  </si>
  <si>
    <t xml:space="preserve">Item</t>
  </si>
  <si>
    <t xml:space="preserve">Note</t>
  </si>
  <si>
    <t xml:space="preserve">Features before selection</t>
  </si>
  <si>
    <t xml:space="preserve">Reported in paper</t>
  </si>
  <si>
    <t xml:space="preserve">Features after selection</t>
  </si>
  <si>
    <t xml:space="preserve">Feature reduction</t>
  </si>
  <si>
    <t xml:space="preserve">Calculated</t>
  </si>
  <si>
    <t xml:space="preserve">Inference latency reduction (low)</t>
  </si>
  <si>
    <t xml:space="preserve">Reported range 30-51%</t>
  </si>
  <si>
    <t xml:space="preserve">Inference latency reduction (high)</t>
  </si>
  <si>
    <t xml:space="preserve">Training time reduction (low)</t>
  </si>
  <si>
    <t xml:space="preserve">Reported range 33-40%</t>
  </si>
  <si>
    <t xml:space="preserve">Training time reduction (high)</t>
  </si>
  <si>
    <t xml:space="preserve">Max accuracy change (percentage points)</t>
  </si>
  <si>
    <t xml:space="preserve">Reported 'within +/- 0.014 points'</t>
  </si>
  <si>
    <t xml:space="preserve">Macro or per-class metrics</t>
  </si>
  <si>
    <t xml:space="preserve">Repeated runs</t>
  </si>
  <si>
    <t xml:space="preserve">Cost reported</t>
  </si>
  <si>
    <t xml:space="preserve">Multiple datasets</t>
  </si>
  <si>
    <t xml:space="preserve">Criteria met (of 5)</t>
  </si>
  <si>
    <t xml:space="preserve">Credibility band</t>
  </si>
  <si>
    <t xml:space="preserve">Kwari &amp; Rajkumar (2025)</t>
  </si>
  <si>
    <t xml:space="preserve">Partial</t>
  </si>
  <si>
    <t xml:space="preserve">Khan et al. (2026)</t>
  </si>
  <si>
    <t xml:space="preserve">Mondragon et al. (2025)</t>
  </si>
  <si>
    <t xml:space="preserve">Scoring: 'Yes' = 1; 'Partial', 'No' and 'Not recorded' = 0. Based on the paper text I read; 'Not recorded' is not a finding of omission. Bands: High = 4-5 criteria, Medium = 2-3, Low = 0-1.</t>
  </si>
  <si>
    <t xml:space="preserve">Studies meeting all 5 criteria:</t>
  </si>
  <si>
    <t xml:space="preserve">Highest criteria met:</t>
  </si>
  <si>
    <t xml:space="preserve">Capability</t>
  </si>
  <si>
    <t xml:space="preserve">Evidence in the 20 studies</t>
  </si>
  <si>
    <t xml:space="preserve">Status</t>
  </si>
  <si>
    <t xml:space="preserve">Explainability</t>
  </si>
  <si>
    <t xml:space="preserve">SHAP/LIME used (Imran et al.; Hajjouz &amp; Avksentieva). Top features differ between studies: flow duration, packet rate, bytes/s vs IAT, SYN flag count, total size</t>
  </si>
  <si>
    <t xml:space="preserve">Qualitative only; no fidelity or stability numbers</t>
  </si>
  <si>
    <t xml:space="preserve">Adversarial robustness</t>
  </si>
  <si>
    <t xml:space="preserve">Under 5% of 216 robustness studies use CICIoT2023 (Winanto &amp; Idris, 2026); about 4% of ML-IDS papers test robustness (Ahmed et al., 2026)</t>
  </si>
  <si>
    <t xml:space="preserve">No CICIoT2023 result here is robustness-tested</t>
  </si>
  <si>
    <t xml:space="preserve">Federated, privacy-preserving training</t>
  </si>
  <si>
    <t xml:space="preserve">Federated stage of Mishra &amp; Reddy not yet run; most FL-IDS work stops at data locality (Bunko et al., 2026)</t>
  </si>
  <si>
    <t xml:space="preserve">No validated result</t>
  </si>
  <si>
    <t xml:space="preserve">Production or streaming validation</t>
  </si>
  <si>
    <t xml:space="preserve">None of 125 reviewed ML-IDS papers validates in production (Ahmed et al., 2026)</t>
  </si>
  <si>
    <t xml:space="preserve">No result</t>
  </si>
  <si>
    <t xml:space="preserve">Cross-dataset generalisation</t>
  </si>
  <si>
    <t xml:space="preserve">Best method changes by dataset; real-traffic LITNET scores lowest (Mondragon et al., 2025)</t>
  </si>
  <si>
    <t xml:space="preserve">Evidence against a universal best model</t>
  </si>
  <si>
    <t xml:space="preserve">#</t>
  </si>
  <si>
    <t xml:space="preserve">Type</t>
  </si>
  <si>
    <t xml:space="preserve">Data</t>
  </si>
  <si>
    <t xml:space="preserve">Main focus</t>
  </si>
  <si>
    <t xml:space="preserve">Uses CICIoT2023?</t>
  </si>
  <si>
    <t xml:space="preserve">Review</t>
  </si>
  <si>
    <t xml:space="preserve">Many datasets</t>
  </si>
  <si>
    <t xml:space="preserve">IDS evolution, taxonomy, datasets, metrics</t>
  </si>
  <si>
    <t xml:space="preserve">Discussed</t>
  </si>
  <si>
    <t xml:space="preserve">Experimental</t>
  </si>
  <si>
    <t xml:space="preserve">NS2 simulation</t>
  </si>
  <si>
    <t xml:space="preserve">Social-network IDS for ad hoc networks</t>
  </si>
  <si>
    <t xml:space="preserve">KDD'99, NSL-KDD, UNSW-NB15, CICIoT2023</t>
  </si>
  <si>
    <t xml:space="preserve">CICIoT2023</t>
  </si>
  <si>
    <t xml:space="preserve">Soft-voting ensemble, imbalance analysis</t>
  </si>
  <si>
    <t xml:space="preserve">IoT datasets</t>
  </si>
  <si>
    <t xml:space="preserve">Conceptual deployment framework</t>
  </si>
  <si>
    <t xml:space="preserve">CICIoT2023, IoT-23</t>
  </si>
  <si>
    <t xml:space="preserve">Six models with SHAP and LIME</t>
  </si>
  <si>
    <t xml:space="preserve">CatBoost, hierarchical feature selection</t>
  </si>
  <si>
    <t xml:space="preserve">Systematic review</t>
  </si>
  <si>
    <t xml:space="preserve">216 studies</t>
  </si>
  <si>
    <t xml:space="preserve">Adversarial robustness of DL-IDS</t>
  </si>
  <si>
    <t xml:space="preserve">DLMLP detection and prevention</t>
  </si>
  <si>
    <t xml:space="preserve">General</t>
  </si>
  <si>
    <t xml:space="preserve">IDS architectures, techniques, environments</t>
  </si>
  <si>
    <t xml:space="preserve">CICIoT2023, TON_IoT</t>
  </si>
  <si>
    <t xml:space="preserve">Hybrid 1D-CNN and LSTM in PySpark</t>
  </si>
  <si>
    <t xml:space="preserve">Experimental (MSc)</t>
  </si>
  <si>
    <t xml:space="preserve">Soft-voting ensemble, binary and multiclass</t>
  </si>
  <si>
    <t xml:space="preserve">125 studies</t>
  </si>
  <si>
    <t xml:space="preserve">ML-IDS themes and gaps</t>
  </si>
  <si>
    <t xml:space="preserve">Survey</t>
  </si>
  <si>
    <t xml:space="preserve">FL-IDS literature</t>
  </si>
  <si>
    <t xml:space="preserve">Privacy-preserving federated learning</t>
  </si>
  <si>
    <t xml:space="preserve">Benchmark</t>
  </si>
  <si>
    <t xml:space="preserve">14 flow datasets</t>
  </si>
  <si>
    <t xml:space="preserve">Seven algorithm categories by macro-F1</t>
  </si>
  <si>
    <t xml:space="preserve">Gradient boosting, feature selection, latency</t>
  </si>
  <si>
    <t xml:space="preserve">TON_IoT, Raspberry Pi, CICIDS2018, CICIoT2023</t>
  </si>
  <si>
    <t xml:space="preserve">Resource-efficient BGL-RID</t>
  </si>
  <si>
    <t xml:space="preserve">IoT IDS literature</t>
  </si>
  <si>
    <t xml:space="preserve">Training and deployment strategies</t>
  </si>
  <si>
    <t xml:space="preserve">IDS types, ML/DL, legacy datasets</t>
  </si>
  <si>
    <t xml:space="preserve">Experimental (preprint)</t>
  </si>
  <si>
    <t xml:space="preserve">N-BaIoT, CICIoT2023, BoT-IoT</t>
  </si>
  <si>
    <t xml:space="preserve">Federated hybrid deep learning (partial)</t>
  </si>
  <si>
    <t xml:space="preserve">Reviews/surveys</t>
  </si>
  <si>
    <t xml:space="preserve">Total</t>
  </si>
  <si>
    <t xml:space="preserve">Experimental using CICIoT2023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</si>
</sst>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00%"/>
    <numFmt numFmtId="167" formatCode="0.00"/>
    <numFmt numFmtId="168" formatCode="0.0%"/>
    <numFmt numFmtId="169" formatCode="0%"/>
    <numFmt numFmtId="170" formatCode="#,##0"/>
    <numFmt numFmtId="171" formatCode="0.00%"/>
    <numFmt numFmtId="172" formatCode="#,##0.000"/>
    <numFmt numFmtId="173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Reported CICIoT2023 accuracy by study and task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Results_CICIoT2023!I1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Results_CICIoT2023!$N$2:$N$14</c:f>
              <c:strCache>
                <c:ptCount val="13"/>
                <c:pt idx="0">
                  <c:v>Kwari &amp; Rajkumar (34-class)</c:v>
                </c:pt>
                <c:pt idx="1">
                  <c:v>Erskine (Multiclass (other))</c:v>
                </c:pt>
                <c:pt idx="2">
                  <c:v>Imran et al. (6-class)</c:v>
                </c:pt>
                <c:pt idx="3">
                  <c:v>Meena &amp; Indian (34-class)</c:v>
                </c:pt>
                <c:pt idx="4">
                  <c:v>Khan et al. (Multiclass (other))</c:v>
                </c:pt>
                <c:pt idx="5">
                  <c:v>Mughogho (Multiclass (other))</c:v>
                </c:pt>
                <c:pt idx="6">
                  <c:v>Almahaqeri et al. (34-class)</c:v>
                </c:pt>
                <c:pt idx="7">
                  <c:v>Almahaqeri et al. (8-class)</c:v>
                </c:pt>
                <c:pt idx="8">
                  <c:v>Mughogho (Binary)</c:v>
                </c:pt>
                <c:pt idx="9">
                  <c:v>Almahaqeri et al. (Binary)</c:v>
                </c:pt>
                <c:pt idx="10">
                  <c:v>Yaras &amp; Dener (Multiclass (other))</c:v>
                </c:pt>
                <c:pt idx="11">
                  <c:v>Hajjouz &amp; Avksentieva (20-class)</c:v>
                </c:pt>
                <c:pt idx="12">
                  <c:v>Yaras &amp; Dener (Binary)</c:v>
                </c:pt>
              </c:strCache>
            </c:strRef>
          </c:cat>
          <c:val>
            <c:numRef>
              <c:f>Results_CICIoT2023!$I$2:$I$14</c:f>
              <c:numCache>
                <c:formatCode>0.000%</c:formatCode>
                <c:ptCount val="13"/>
                <c:pt idx="0">
                  <c:v>0.7688</c:v>
                </c:pt>
                <c:pt idx="1">
                  <c:v>0.85</c:v>
                </c:pt>
                <c:pt idx="2">
                  <c:v>0.9602</c:v>
                </c:pt>
                <c:pt idx="3">
                  <c:v>0.9858</c:v>
                </c:pt>
                <c:pt idx="4">
                  <c:v>0.9888</c:v>
                </c:pt>
                <c:pt idx="5">
                  <c:v>0.9925</c:v>
                </c:pt>
                <c:pt idx="6">
                  <c:v>0.994</c:v>
                </c:pt>
                <c:pt idx="7">
                  <c:v>0.994</c:v>
                </c:pt>
                <c:pt idx="8">
                  <c:v>0.998</c:v>
                </c:pt>
                <c:pt idx="9">
                  <c:v>0.9961</c:v>
                </c:pt>
                <c:pt idx="10">
                  <c:v>0.9996</c:v>
                </c:pt>
                <c:pt idx="11">
                  <c:v>0.9996</c:v>
                </c:pt>
                <c:pt idx="12">
                  <c:v>0.99995</c:v>
                </c:pt>
              </c:numCache>
            </c:numRef>
          </c:val>
        </c:ser>
        <c:gapWidth val="150"/>
        <c:overlap val="0"/>
        <c:axId val="39917372"/>
        <c:axId val="55723591"/>
      </c:barChart>
      <c:catAx>
        <c:axId val="399173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723591"/>
        <c:crosses val="autoZero"/>
        <c:auto val="1"/>
        <c:lblAlgn val="ctr"/>
        <c:lblOffset val="100"/>
        <c:noMultiLvlLbl val="0"/>
      </c:catAx>
      <c:valAx>
        <c:axId val="55723591"/>
        <c:scaling>
          <c:orientation val="minMax"/>
          <c:max val="1"/>
          <c:min val="0.7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Accuracy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9173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18</xdr:col>
      <xdr:colOff>78120</xdr:colOff>
      <xdr:row>22</xdr:row>
      <xdr:rowOff>119160</xdr:rowOff>
    </xdr:to>
    <xdr:graphicFrame>
      <xdr:nvGraphicFramePr>
        <xdr:cNvPr id="0" name="Chart 1"/>
        <xdr:cNvGraphicFramePr/>
      </xdr:nvGraphicFramePr>
      <xdr:xfrm>
        <a:off x="7941960" y="379800"/>
        <a:ext cx="863928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/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4" t="s">
        <v>12</v>
      </c>
    </row>
    <row r="18" customFormat="false" ht="15" hidden="false" customHeight="true" outlineLevel="0" collapsed="false">
      <c r="A18" s="3" t="s">
        <v>13</v>
      </c>
    </row>
    <row r="19" customFormat="false" ht="15" hidden="false" customHeight="true" outlineLevel="0" collapsed="false">
      <c r="A19" s="3" t="s">
        <v>14</v>
      </c>
    </row>
    <row r="20" customFormat="false" ht="15" hidden="false" customHeight="true" outlineLevel="0" collapsed="false">
      <c r="A20" s="3" t="s">
        <v>15</v>
      </c>
    </row>
    <row r="21" customFormat="false" ht="15" hidden="false" customHeight="true" outlineLevel="0" collapsed="false">
      <c r="A21" s="3" t="s">
        <v>16</v>
      </c>
    </row>
    <row r="22" customFormat="false" ht="15" hidden="false" customHeight="true" outlineLevel="0" collapsed="false">
      <c r="A22" s="3" t="s">
        <v>17</v>
      </c>
    </row>
    <row r="23" customFormat="false" ht="15" hidden="false" customHeight="true" outlineLevel="0" collapsed="false">
      <c r="A23" s="3" t="s">
        <v>18</v>
      </c>
    </row>
    <row r="24" customFormat="false" ht="15" hidden="false" customHeight="true" outlineLevel="0" collapsed="false">
      <c r="A24" s="3" t="s">
        <v>19</v>
      </c>
    </row>
    <row r="25" customFormat="false" ht="15" hidden="false" customHeight="true" outlineLevel="0" collapsed="false">
      <c r="A25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8"/>
    <col collapsed="false" customWidth="true" hidden="false" outlineLevel="0" max="3" min="3" style="1" width="34"/>
  </cols>
  <sheetData>
    <row r="1" customFormat="false" ht="17.25" hidden="false" customHeight="true" outlineLevel="0" collapsed="false">
      <c r="A1" s="2" t="s">
        <v>21</v>
      </c>
    </row>
    <row r="3" customFormat="false" ht="15" hidden="false" customHeight="true" outlineLevel="0" collapsed="false">
      <c r="A3" s="5" t="s">
        <v>22</v>
      </c>
      <c r="B3" s="5" t="s">
        <v>23</v>
      </c>
    </row>
    <row r="4" customFormat="false" ht="15" hidden="false" customHeight="true" outlineLevel="0" collapsed="false">
      <c r="A4" s="6" t="s">
        <v>24</v>
      </c>
      <c r="B4" s="7" t="n">
        <f aca="false">COUNTA(Results_CICIoT2023!$B$2:$B$14)</f>
        <v>13</v>
      </c>
    </row>
    <row r="5" customFormat="false" ht="15" hidden="false" customHeight="true" outlineLevel="0" collapsed="false">
      <c r="A5" s="6" t="s">
        <v>25</v>
      </c>
      <c r="B5" s="7" t="n">
        <f aca="false">SUMPRODUCT(1/COUNTIF(Results_CICIoT2023!$B$2:$B$14,Results_CICIoT2023!$B$2:$B$14))</f>
        <v>9</v>
      </c>
    </row>
    <row r="6" customFormat="false" ht="15" hidden="false" customHeight="true" outlineLevel="0" collapsed="false">
      <c r="A6" s="6" t="s">
        <v>26</v>
      </c>
      <c r="B6" s="8" t="n">
        <f aca="false">MAX(Results_CICIoT2023!$I$2:$I$14)</f>
        <v>0.99995</v>
      </c>
    </row>
    <row r="7" customFormat="false" ht="15" hidden="false" customHeight="true" outlineLevel="0" collapsed="false">
      <c r="A7" s="6" t="s">
        <v>27</v>
      </c>
      <c r="B7" s="8" t="n">
        <f aca="false">MIN(Results_CICIoT2023!$I$2:$I$14)</f>
        <v>0.7688</v>
      </c>
    </row>
    <row r="8" customFormat="false" ht="15" hidden="false" customHeight="true" outlineLevel="0" collapsed="false">
      <c r="A8" s="6" t="s">
        <v>28</v>
      </c>
      <c r="B8" s="9" t="n">
        <f aca="false">(B6-B7)*100</f>
        <v>23.115</v>
      </c>
    </row>
    <row r="9" customFormat="false" ht="15" hidden="false" customHeight="true" outlineLevel="0" collapsed="false">
      <c r="A9" s="6" t="s">
        <v>29</v>
      </c>
      <c r="B9" s="8" t="n">
        <f aca="false">MEDIAN(Results_CICIoT2023!$I$2:$I$14)</f>
        <v>0.994</v>
      </c>
    </row>
    <row r="10" customFormat="false" ht="15" hidden="false" customHeight="true" outlineLevel="0" collapsed="false">
      <c r="A10" s="6" t="s">
        <v>30</v>
      </c>
      <c r="B10" s="7" t="n">
        <f aca="false">COUNTIF(Results_CICIoT2023!$L$2:$L$14,"Yes")</f>
        <v>2</v>
      </c>
    </row>
    <row r="11" customFormat="false" ht="15" hidden="false" customHeight="true" outlineLevel="0" collapsed="false">
      <c r="A11" s="6" t="s">
        <v>31</v>
      </c>
      <c r="B11" s="8" t="n">
        <f aca="false">_xlfn.MINIFS(Results_CICIoT2023!$I$2:$I$14,Results_CICIoT2023!$L$2:$L$14,"Yes")</f>
        <v>0.7688</v>
      </c>
    </row>
    <row r="12" customFormat="false" ht="15" hidden="false" customHeight="true" outlineLevel="0" collapsed="false">
      <c r="A12" s="6" t="s">
        <v>32</v>
      </c>
      <c r="B12" s="8" t="n">
        <f aca="false">_xlfn.MAXIFS(Results_CICIoT2023!$I$2:$I$14,Results_CICIoT2023!$L$2:$L$14,"Yes")</f>
        <v>0.9996</v>
      </c>
    </row>
    <row r="13" customFormat="false" ht="15" hidden="false" customHeight="true" outlineLevel="0" collapsed="false">
      <c r="A13" s="6" t="s">
        <v>33</v>
      </c>
      <c r="B13" s="7" t="n">
        <f aca="false">COUNTIF(Results_CICIoT2023!$I$2:$I$14,"&gt;=0.99")</f>
        <v>8</v>
      </c>
    </row>
    <row r="14" customFormat="false" ht="15" hidden="false" customHeight="true" outlineLevel="0" collapsed="false">
      <c r="A14" s="6" t="s">
        <v>34</v>
      </c>
      <c r="B14" s="10" t="n">
        <f aca="false">B13/B4</f>
        <v>0.615384615384615</v>
      </c>
    </row>
    <row r="16" customFormat="false" ht="15" hidden="false" customHeight="true" outlineLevel="0" collapsed="false">
      <c r="A16" s="4" t="s">
        <v>35</v>
      </c>
    </row>
    <row r="17" customFormat="false" ht="15" hidden="false" customHeight="true" outlineLevel="0" collapsed="false">
      <c r="A17" s="5" t="s">
        <v>36</v>
      </c>
      <c r="B17" s="5" t="s">
        <v>26</v>
      </c>
      <c r="C17" s="5" t="s">
        <v>37</v>
      </c>
    </row>
    <row r="18" customFormat="false" ht="15" hidden="false" customHeight="true" outlineLevel="0" collapsed="false">
      <c r="A18" s="6" t="s">
        <v>38</v>
      </c>
      <c r="B18" s="8" t="n">
        <f aca="false">_xlfn.MAXIFS(Results_CICIoT2023!$I$2:$I$14,Results_CICIoT2023!$D$2:$D$14,A18)</f>
        <v>0.99995</v>
      </c>
      <c r="C18" s="6" t="str">
        <f aca="false">INDEX(Results_CICIoT2023!$B$2:$B$14,SUMPRODUCT(MAX((Results_CICIoT2023!$D$2:$D$14=A18)*(Results_CICIoT2023!$I$2:$I$14=B18)*(ROW(Results_CICIoT2023!$D$2:$D$14)-1))))</f>
        <v>Yaras &amp; Dener</v>
      </c>
    </row>
    <row r="19" customFormat="false" ht="15" hidden="false" customHeight="true" outlineLevel="0" collapsed="false">
      <c r="A19" s="6" t="s">
        <v>39</v>
      </c>
      <c r="B19" s="8" t="n">
        <f aca="false">_xlfn.MAXIFS(Results_CICIoT2023!$I$2:$I$14,Results_CICIoT2023!$D$2:$D$14,A19)</f>
        <v>0.994</v>
      </c>
      <c r="C19" s="6" t="str">
        <f aca="false">INDEX(Results_CICIoT2023!$B$2:$B$14,SUMPRODUCT(MAX((Results_CICIoT2023!$D$2:$D$14=A19)*(Results_CICIoT2023!$I$2:$I$14=B19)*(ROW(Results_CICIoT2023!$D$2:$D$14)-1))))</f>
        <v>Almahaqeri et al.</v>
      </c>
    </row>
    <row r="20" customFormat="false" ht="15" hidden="false" customHeight="true" outlineLevel="0" collapsed="false">
      <c r="A20" s="6" t="s">
        <v>40</v>
      </c>
      <c r="B20" s="8" t="n">
        <f aca="false">_xlfn.MAXIFS(Results_CICIoT2023!$I$2:$I$14,Results_CICIoT2023!$D$2:$D$14,A20)</f>
        <v>0.994</v>
      </c>
      <c r="C20" s="6" t="str">
        <f aca="false">INDEX(Results_CICIoT2023!$B$2:$B$14,SUMPRODUCT(MAX((Results_CICIoT2023!$D$2:$D$14=A20)*(Results_CICIoT2023!$I$2:$I$14=B20)*(ROW(Results_CICIoT2023!$D$2:$D$14)-1))))</f>
        <v>Almahaqeri et al.</v>
      </c>
    </row>
    <row r="21" customFormat="false" ht="15" hidden="false" customHeight="true" outlineLevel="0" collapsed="false">
      <c r="A21" s="6" t="s">
        <v>41</v>
      </c>
      <c r="B21" s="8" t="n">
        <f aca="false">_xlfn.MAXIFS(Results_CICIoT2023!$I$2:$I$14,Results_CICIoT2023!$D$2:$D$14,A21)</f>
        <v>0.9996</v>
      </c>
      <c r="C21" s="6" t="str">
        <f aca="false">INDEX(Results_CICIoT2023!$B$2:$B$14,SUMPRODUCT(MAX((Results_CICIoT2023!$D$2:$D$14=A21)*(Results_CICIoT2023!$I$2:$I$14=B21)*(ROW(Results_CICIoT2023!$D$2:$D$14)-1))))</f>
        <v>Hajjouz &amp; Avksentieva</v>
      </c>
    </row>
    <row r="22" customFormat="false" ht="15" hidden="false" customHeight="true" outlineLevel="0" collapsed="false">
      <c r="A22" s="6" t="s">
        <v>42</v>
      </c>
      <c r="B22" s="8" t="n">
        <f aca="false">_xlfn.MAXIFS(Results_CICIoT2023!$I$2:$I$14,Results_CICIoT2023!$D$2:$D$14,A22)</f>
        <v>0.9602</v>
      </c>
      <c r="C22" s="6" t="str">
        <f aca="false">INDEX(Results_CICIoT2023!$B$2:$B$14,SUMPRODUCT(MAX((Results_CICIoT2023!$D$2:$D$14=A22)*(Results_CICIoT2023!$I$2:$I$14=B22)*(ROW(Results_CICIoT2023!$D$2:$D$14)-1))))</f>
        <v>Imran et al.</v>
      </c>
    </row>
    <row r="23" customFormat="false" ht="15" hidden="false" customHeight="true" outlineLevel="0" collapsed="false">
      <c r="A23" s="6" t="s">
        <v>43</v>
      </c>
      <c r="B23" s="8" t="n">
        <f aca="false">_xlfn.MAXIFS(Results_CICIoT2023!$I$2:$I$14,Results_CICIoT2023!$D$2:$D$14,A23)</f>
        <v>0.9996</v>
      </c>
      <c r="C23" s="6" t="str">
        <f aca="false">INDEX(Results_CICIoT2023!$B$2:$B$14,SUMPRODUCT(MAX((Results_CICIoT2023!$D$2:$D$14=A23)*(Results_CICIoT2023!$I$2:$I$14=B23)*(ROW(Results_CICIoT2023!$D$2:$D$14)-1))))</f>
        <v>Yaras &amp; Dener</v>
      </c>
    </row>
    <row r="25" customFormat="false" ht="15" hidden="false" customHeight="true" outlineLevel="0" collapsed="false">
      <c r="A25" s="3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4" min="4" style="0" width="38"/>
    <col collapsed="false" customWidth="true" hidden="false" outlineLevel="0" max="6" min="5" style="0" width="60"/>
    <col collapsed="false" customWidth="true" hidden="false" outlineLevel="0" max="7" min="7" style="0" width="44"/>
  </cols>
  <sheetData>
    <row r="1" customFormat="false" ht="15" hidden="false" customHeight="false" outlineLevel="0" collapsed="false">
      <c r="A1" s="5" t="s">
        <v>45</v>
      </c>
      <c r="B1" s="5" t="s">
        <v>37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</row>
    <row r="2" customFormat="false" ht="46.25" hidden="false" customHeight="false" outlineLevel="0" collapsed="false">
      <c r="A2" s="11" t="n">
        <v>1</v>
      </c>
      <c r="B2" s="11" t="s">
        <v>51</v>
      </c>
      <c r="C2" s="11" t="n">
        <v>2026</v>
      </c>
      <c r="D2" s="12" t="s">
        <v>52</v>
      </c>
      <c r="E2" s="12" t="s">
        <v>53</v>
      </c>
      <c r="F2" s="12" t="s">
        <v>54</v>
      </c>
      <c r="G2" s="12" t="s">
        <v>55</v>
      </c>
    </row>
    <row r="3" customFormat="false" ht="46.25" hidden="false" customHeight="false" outlineLevel="0" collapsed="false">
      <c r="A3" s="11" t="n">
        <v>2</v>
      </c>
      <c r="B3" s="11" t="s">
        <v>56</v>
      </c>
      <c r="C3" s="11" t="n">
        <v>2025</v>
      </c>
      <c r="D3" s="12" t="s">
        <v>57</v>
      </c>
      <c r="E3" s="12" t="s">
        <v>58</v>
      </c>
      <c r="F3" s="12" t="s">
        <v>59</v>
      </c>
      <c r="G3" s="12" t="s">
        <v>60</v>
      </c>
    </row>
    <row r="4" customFormat="false" ht="35.05" hidden="false" customHeight="false" outlineLevel="0" collapsed="false">
      <c r="A4" s="11" t="n">
        <v>3</v>
      </c>
      <c r="B4" s="11" t="s">
        <v>61</v>
      </c>
      <c r="C4" s="11" t="n">
        <v>2025</v>
      </c>
      <c r="D4" s="12" t="s">
        <v>62</v>
      </c>
      <c r="E4" s="12" t="s">
        <v>63</v>
      </c>
      <c r="F4" s="12" t="s">
        <v>64</v>
      </c>
      <c r="G4" s="12" t="s">
        <v>65</v>
      </c>
    </row>
    <row r="5" customFormat="false" ht="23.85" hidden="false" customHeight="false" outlineLevel="0" collapsed="false">
      <c r="A5" s="11" t="n">
        <v>4</v>
      </c>
      <c r="B5" s="11" t="s">
        <v>66</v>
      </c>
      <c r="C5" s="11" t="n">
        <v>2025</v>
      </c>
      <c r="D5" s="12" t="s">
        <v>67</v>
      </c>
      <c r="E5" s="12" t="s">
        <v>68</v>
      </c>
      <c r="F5" s="12" t="s">
        <v>69</v>
      </c>
      <c r="G5" s="12" t="s">
        <v>70</v>
      </c>
    </row>
    <row r="6" customFormat="false" ht="35.05" hidden="false" customHeight="false" outlineLevel="0" collapsed="false">
      <c r="A6" s="11" t="n">
        <v>5</v>
      </c>
      <c r="B6" s="11" t="s">
        <v>71</v>
      </c>
      <c r="C6" s="11" t="s">
        <v>72</v>
      </c>
      <c r="D6" s="12" t="s">
        <v>73</v>
      </c>
      <c r="E6" s="12" t="s">
        <v>74</v>
      </c>
      <c r="F6" s="12" t="s">
        <v>75</v>
      </c>
      <c r="G6" s="12" t="s">
        <v>76</v>
      </c>
    </row>
    <row r="7" customFormat="false" ht="35.05" hidden="false" customHeight="false" outlineLevel="0" collapsed="false">
      <c r="A7" s="11" t="n">
        <v>6</v>
      </c>
      <c r="B7" s="11" t="s">
        <v>77</v>
      </c>
      <c r="C7" s="11" t="n">
        <v>2026</v>
      </c>
      <c r="D7" s="12" t="s">
        <v>78</v>
      </c>
      <c r="E7" s="12" t="s">
        <v>79</v>
      </c>
      <c r="F7" s="12" t="s">
        <v>80</v>
      </c>
      <c r="G7" s="12" t="s">
        <v>81</v>
      </c>
    </row>
    <row r="8" customFormat="false" ht="23.85" hidden="false" customHeight="false" outlineLevel="0" collapsed="false">
      <c r="A8" s="11" t="n">
        <v>7</v>
      </c>
      <c r="B8" s="11" t="s">
        <v>82</v>
      </c>
      <c r="C8" s="11" t="n">
        <v>2024</v>
      </c>
      <c r="D8" s="12" t="s">
        <v>83</v>
      </c>
      <c r="E8" s="12" t="s">
        <v>84</v>
      </c>
      <c r="F8" s="12" t="s">
        <v>85</v>
      </c>
      <c r="G8" s="12" t="s">
        <v>86</v>
      </c>
    </row>
    <row r="9" customFormat="false" ht="23.85" hidden="false" customHeight="false" outlineLevel="0" collapsed="false">
      <c r="A9" s="11" t="n">
        <v>8</v>
      </c>
      <c r="B9" s="11" t="s">
        <v>87</v>
      </c>
      <c r="C9" s="11" t="n">
        <v>2026</v>
      </c>
      <c r="D9" s="12" t="s">
        <v>88</v>
      </c>
      <c r="E9" s="12" t="s">
        <v>89</v>
      </c>
      <c r="F9" s="12" t="s">
        <v>90</v>
      </c>
      <c r="G9" s="12" t="s">
        <v>91</v>
      </c>
    </row>
    <row r="10" customFormat="false" ht="23.85" hidden="false" customHeight="false" outlineLevel="0" collapsed="false">
      <c r="A10" s="11" t="n">
        <v>9</v>
      </c>
      <c r="B10" s="11" t="s">
        <v>92</v>
      </c>
      <c r="C10" s="11" t="n">
        <v>2025</v>
      </c>
      <c r="D10" s="12" t="s">
        <v>93</v>
      </c>
      <c r="E10" s="12" t="s">
        <v>94</v>
      </c>
      <c r="F10" s="12" t="s">
        <v>95</v>
      </c>
      <c r="G10" s="12" t="s">
        <v>96</v>
      </c>
    </row>
    <row r="11" customFormat="false" ht="23.85" hidden="false" customHeight="false" outlineLevel="0" collapsed="false">
      <c r="A11" s="11" t="n">
        <v>10</v>
      </c>
      <c r="B11" s="11" t="s">
        <v>97</v>
      </c>
      <c r="C11" s="11" t="n">
        <v>2025</v>
      </c>
      <c r="D11" s="12" t="s">
        <v>98</v>
      </c>
      <c r="E11" s="12" t="s">
        <v>99</v>
      </c>
      <c r="F11" s="12" t="s">
        <v>100</v>
      </c>
      <c r="G11" s="12" t="s">
        <v>101</v>
      </c>
    </row>
    <row r="12" customFormat="false" ht="23.85" hidden="false" customHeight="false" outlineLevel="0" collapsed="false">
      <c r="A12" s="11" t="n">
        <v>11</v>
      </c>
      <c r="B12" s="11" t="s">
        <v>102</v>
      </c>
      <c r="C12" s="11" t="n">
        <v>2024</v>
      </c>
      <c r="D12" s="12" t="s">
        <v>103</v>
      </c>
      <c r="E12" s="12" t="s">
        <v>104</v>
      </c>
      <c r="F12" s="12" t="s">
        <v>105</v>
      </c>
      <c r="G12" s="12" t="s">
        <v>106</v>
      </c>
    </row>
    <row r="13" customFormat="false" ht="23.85" hidden="false" customHeight="false" outlineLevel="0" collapsed="false">
      <c r="A13" s="11" t="n">
        <v>12</v>
      </c>
      <c r="B13" s="11" t="s">
        <v>107</v>
      </c>
      <c r="C13" s="11" t="n">
        <v>2025</v>
      </c>
      <c r="D13" s="12" t="s">
        <v>108</v>
      </c>
      <c r="E13" s="12" t="s">
        <v>109</v>
      </c>
      <c r="F13" s="12" t="s">
        <v>110</v>
      </c>
      <c r="G13" s="12" t="s">
        <v>111</v>
      </c>
    </row>
    <row r="14" customFormat="false" ht="35.05" hidden="false" customHeight="false" outlineLevel="0" collapsed="false">
      <c r="A14" s="11" t="n">
        <v>13</v>
      </c>
      <c r="B14" s="11" t="s">
        <v>112</v>
      </c>
      <c r="C14" s="11" t="n">
        <v>2026</v>
      </c>
      <c r="D14" s="12" t="s">
        <v>113</v>
      </c>
      <c r="E14" s="12" t="s">
        <v>114</v>
      </c>
      <c r="F14" s="12" t="s">
        <v>115</v>
      </c>
      <c r="G14" s="12" t="s">
        <v>116</v>
      </c>
    </row>
    <row r="15" customFormat="false" ht="23.85" hidden="false" customHeight="false" outlineLevel="0" collapsed="false">
      <c r="A15" s="11" t="n">
        <v>14</v>
      </c>
      <c r="B15" s="11" t="s">
        <v>117</v>
      </c>
      <c r="C15" s="11" t="n">
        <v>2026</v>
      </c>
      <c r="D15" s="12" t="s">
        <v>118</v>
      </c>
      <c r="E15" s="12" t="s">
        <v>119</v>
      </c>
      <c r="F15" s="12" t="s">
        <v>120</v>
      </c>
      <c r="G15" s="12" t="s">
        <v>121</v>
      </c>
    </row>
    <row r="16" customFormat="false" ht="23.85" hidden="false" customHeight="false" outlineLevel="0" collapsed="false">
      <c r="A16" s="11" t="n">
        <v>15</v>
      </c>
      <c r="B16" s="11" t="s">
        <v>122</v>
      </c>
      <c r="C16" s="11" t="n">
        <v>2025</v>
      </c>
      <c r="D16" s="12" t="s">
        <v>123</v>
      </c>
      <c r="E16" s="12" t="s">
        <v>124</v>
      </c>
      <c r="F16" s="12" t="s">
        <v>125</v>
      </c>
      <c r="G16" s="12" t="s">
        <v>126</v>
      </c>
    </row>
    <row r="17" customFormat="false" ht="35.05" hidden="false" customHeight="false" outlineLevel="0" collapsed="false">
      <c r="A17" s="11" t="n">
        <v>16</v>
      </c>
      <c r="B17" s="11" t="s">
        <v>127</v>
      </c>
      <c r="C17" s="11" t="n">
        <v>2026</v>
      </c>
      <c r="D17" s="12" t="s">
        <v>128</v>
      </c>
      <c r="E17" s="12" t="s">
        <v>129</v>
      </c>
      <c r="F17" s="12" t="s">
        <v>130</v>
      </c>
      <c r="G17" s="12" t="s">
        <v>131</v>
      </c>
    </row>
    <row r="18" customFormat="false" ht="23.85" hidden="false" customHeight="false" outlineLevel="0" collapsed="false">
      <c r="A18" s="11" t="n">
        <v>17</v>
      </c>
      <c r="B18" s="11" t="s">
        <v>132</v>
      </c>
      <c r="C18" s="11" t="n">
        <v>2026</v>
      </c>
      <c r="D18" s="12" t="s">
        <v>133</v>
      </c>
      <c r="E18" s="12" t="s">
        <v>134</v>
      </c>
      <c r="F18" s="12" t="s">
        <v>135</v>
      </c>
      <c r="G18" s="12" t="s">
        <v>136</v>
      </c>
    </row>
    <row r="19" customFormat="false" ht="23.85" hidden="false" customHeight="false" outlineLevel="0" collapsed="false">
      <c r="A19" s="11" t="n">
        <v>18</v>
      </c>
      <c r="B19" s="11" t="s">
        <v>137</v>
      </c>
      <c r="C19" s="11" t="n">
        <v>2025</v>
      </c>
      <c r="D19" s="12" t="s">
        <v>138</v>
      </c>
      <c r="E19" s="12" t="s">
        <v>139</v>
      </c>
      <c r="F19" s="12" t="s">
        <v>140</v>
      </c>
      <c r="G19" s="12" t="s">
        <v>141</v>
      </c>
    </row>
    <row r="20" customFormat="false" ht="23.85" hidden="false" customHeight="false" outlineLevel="0" collapsed="false">
      <c r="A20" s="11" t="n">
        <v>19</v>
      </c>
      <c r="B20" s="11" t="s">
        <v>142</v>
      </c>
      <c r="C20" s="11" t="n">
        <v>2025</v>
      </c>
      <c r="D20" s="12" t="s">
        <v>143</v>
      </c>
      <c r="E20" s="12" t="s">
        <v>144</v>
      </c>
      <c r="F20" s="12" t="s">
        <v>145</v>
      </c>
      <c r="G20" s="12" t="s">
        <v>146</v>
      </c>
    </row>
    <row r="21" customFormat="false" ht="35.05" hidden="false" customHeight="false" outlineLevel="0" collapsed="false">
      <c r="A21" s="11" t="n">
        <v>20</v>
      </c>
      <c r="B21" s="11" t="s">
        <v>147</v>
      </c>
      <c r="C21" s="11" t="n">
        <v>2026</v>
      </c>
      <c r="D21" s="12" t="s">
        <v>148</v>
      </c>
      <c r="E21" s="12" t="s">
        <v>149</v>
      </c>
      <c r="F21" s="12" t="s">
        <v>150</v>
      </c>
      <c r="G21" s="12" t="s">
        <v>151</v>
      </c>
    </row>
    <row r="23" customFormat="false" ht="15" hidden="false" customHeight="false" outlineLevel="0" collapsed="false">
      <c r="B23" s="13" t="s">
        <v>152</v>
      </c>
    </row>
  </sheetData>
  <autoFilter ref="A1:G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7"/>
    <col collapsed="false" customWidth="true" hidden="false" outlineLevel="0" max="4" min="4" style="1" width="18"/>
    <col collapsed="false" customWidth="true" hidden="false" outlineLevel="0" max="5" min="5" style="1" width="26"/>
    <col collapsed="false" customWidth="true" hidden="false" outlineLevel="0" max="6" min="6" style="1" width="12"/>
    <col collapsed="false" customWidth="true" hidden="false" outlineLevel="0" max="7" min="7" style="1" width="22"/>
    <col collapsed="false" customWidth="true" hidden="false" outlineLevel="0" max="8" min="8" style="1" width="28"/>
    <col collapsed="false" customWidth="true" hidden="false" outlineLevel="0" max="9" min="9" style="1" width="11"/>
    <col collapsed="false" customWidth="true" hidden="false" outlineLevel="0" max="10" min="10" style="1" width="13"/>
    <col collapsed="false" customWidth="true" hidden="false" outlineLevel="0" max="11" min="11" style="1" width="10"/>
    <col collapsed="false" customWidth="true" hidden="false" outlineLevel="0" max="12" min="12" style="1" width="16"/>
    <col collapsed="false" customWidth="true" hidden="false" outlineLevel="0" max="13" min="13" style="1" width="48"/>
    <col collapsed="false" customWidth="true" hidden="false" outlineLevel="0" max="14" min="14" style="1" width="34"/>
    <col collapsed="false" customWidth="true" hidden="false" outlineLevel="0" max="15" min="15" style="1" width="7"/>
  </cols>
  <sheetData>
    <row r="1" customFormat="false" ht="34.5" hidden="false" customHeight="true" outlineLevel="0" collapsed="false">
      <c r="A1" s="5" t="s">
        <v>45</v>
      </c>
      <c r="B1" s="5" t="s">
        <v>37</v>
      </c>
      <c r="C1" s="5" t="s">
        <v>46</v>
      </c>
      <c r="D1" s="5" t="s">
        <v>36</v>
      </c>
      <c r="E1" s="5" t="s">
        <v>153</v>
      </c>
      <c r="F1" s="5" t="s">
        <v>154</v>
      </c>
      <c r="G1" s="5" t="s">
        <v>155</v>
      </c>
      <c r="H1" s="5" t="s">
        <v>156</v>
      </c>
      <c r="I1" s="5" t="s">
        <v>157</v>
      </c>
      <c r="J1" s="5" t="s">
        <v>158</v>
      </c>
      <c r="K1" s="5" t="s">
        <v>159</v>
      </c>
      <c r="L1" s="5" t="s">
        <v>160</v>
      </c>
      <c r="M1" s="5" t="s">
        <v>161</v>
      </c>
      <c r="N1" s="5" t="s">
        <v>162</v>
      </c>
      <c r="O1" s="5" t="s">
        <v>163</v>
      </c>
    </row>
    <row r="2" customFormat="false" ht="15" hidden="false" customHeight="true" outlineLevel="0" collapsed="false">
      <c r="A2" s="11" t="n">
        <v>1</v>
      </c>
      <c r="B2" s="11" t="s">
        <v>66</v>
      </c>
      <c r="C2" s="11" t="n">
        <v>2025</v>
      </c>
      <c r="D2" s="11" t="s">
        <v>40</v>
      </c>
      <c r="E2" s="11" t="s">
        <v>164</v>
      </c>
      <c r="F2" s="14" t="n">
        <v>100000</v>
      </c>
      <c r="G2" s="11" t="s">
        <v>165</v>
      </c>
      <c r="H2" s="11" t="s">
        <v>166</v>
      </c>
      <c r="I2" s="15" t="n">
        <v>0.7688</v>
      </c>
      <c r="J2" s="11" t="s">
        <v>167</v>
      </c>
      <c r="K2" s="16" t="n">
        <v>0.54</v>
      </c>
      <c r="L2" s="11" t="s">
        <v>168</v>
      </c>
      <c r="M2" s="11" t="s">
        <v>169</v>
      </c>
      <c r="N2" s="11" t="str">
        <f aca="false">B2&amp;" ("&amp;D2&amp;")"</f>
        <v>Kwari &amp; Rajkumar (34-class)</v>
      </c>
      <c r="O2" s="11" t="n">
        <f aca="false">RANK(I2,$I$2:$I$14)</f>
        <v>13</v>
      </c>
    </row>
    <row r="3" customFormat="false" ht="15" hidden="false" customHeight="true" outlineLevel="0" collapsed="false">
      <c r="A3" s="11" t="n">
        <v>2</v>
      </c>
      <c r="B3" s="11" t="s">
        <v>92</v>
      </c>
      <c r="C3" s="11" t="n">
        <v>2025</v>
      </c>
      <c r="D3" s="11" t="s">
        <v>43</v>
      </c>
      <c r="E3" s="11" t="s">
        <v>170</v>
      </c>
      <c r="F3" s="14"/>
      <c r="G3" s="11" t="s">
        <v>171</v>
      </c>
      <c r="H3" s="11" t="s">
        <v>172</v>
      </c>
      <c r="I3" s="15" t="n">
        <v>0.85</v>
      </c>
      <c r="J3" s="11" t="s">
        <v>173</v>
      </c>
      <c r="K3" s="16"/>
      <c r="L3" s="11" t="s">
        <v>171</v>
      </c>
      <c r="M3" s="11" t="s">
        <v>174</v>
      </c>
      <c r="N3" s="11" t="str">
        <f aca="false">B3&amp;" ("&amp;D3&amp;")"</f>
        <v>Erskine (Multiclass (other))</v>
      </c>
      <c r="O3" s="11" t="n">
        <f aca="false">RANK(I3,$I$2:$I$14)</f>
        <v>12</v>
      </c>
    </row>
    <row r="4" customFormat="false" ht="15" hidden="false" customHeight="true" outlineLevel="0" collapsed="false">
      <c r="A4" s="11" t="n">
        <v>3</v>
      </c>
      <c r="B4" s="11" t="s">
        <v>77</v>
      </c>
      <c r="C4" s="11" t="n">
        <v>2026</v>
      </c>
      <c r="D4" s="11" t="s">
        <v>42</v>
      </c>
      <c r="E4" s="11" t="s">
        <v>175</v>
      </c>
      <c r="F4" s="14" t="n">
        <v>18000</v>
      </c>
      <c r="G4" s="11" t="s">
        <v>171</v>
      </c>
      <c r="H4" s="11" t="s">
        <v>176</v>
      </c>
      <c r="I4" s="15" t="n">
        <v>0.9602</v>
      </c>
      <c r="J4" s="11" t="s">
        <v>167</v>
      </c>
      <c r="K4" s="16"/>
      <c r="L4" s="11" t="s">
        <v>171</v>
      </c>
      <c r="M4" s="11" t="s">
        <v>177</v>
      </c>
      <c r="N4" s="11" t="str">
        <f aca="false">B4&amp;" ("&amp;D4&amp;")"</f>
        <v>Imran et al. (6-class)</v>
      </c>
      <c r="O4" s="11" t="n">
        <f aca="false">RANK(I4,$I$2:$I$14)</f>
        <v>11</v>
      </c>
    </row>
    <row r="5" customFormat="false" ht="23.25" hidden="false" customHeight="true" outlineLevel="0" collapsed="false">
      <c r="A5" s="11" t="n">
        <v>4</v>
      </c>
      <c r="B5" s="11" t="s">
        <v>61</v>
      </c>
      <c r="C5" s="11" t="n">
        <v>2025</v>
      </c>
      <c r="D5" s="11" t="s">
        <v>40</v>
      </c>
      <c r="E5" s="11" t="s">
        <v>164</v>
      </c>
      <c r="F5" s="14" t="n">
        <v>2540044</v>
      </c>
      <c r="G5" s="11" t="s">
        <v>171</v>
      </c>
      <c r="H5" s="11" t="s">
        <v>178</v>
      </c>
      <c r="I5" s="15" t="n">
        <v>0.9858</v>
      </c>
      <c r="J5" s="11" t="s">
        <v>167</v>
      </c>
      <c r="K5" s="16"/>
      <c r="L5" s="11" t="s">
        <v>171</v>
      </c>
      <c r="M5" s="11" t="s">
        <v>179</v>
      </c>
      <c r="N5" s="11" t="str">
        <f aca="false">B5&amp;" ("&amp;D5&amp;")"</f>
        <v>Meena &amp; Indian (34-class)</v>
      </c>
      <c r="O5" s="11" t="n">
        <f aca="false">RANK(I5,$I$2:$I$14)</f>
        <v>10</v>
      </c>
    </row>
    <row r="6" customFormat="false" ht="15" hidden="false" customHeight="true" outlineLevel="0" collapsed="false">
      <c r="A6" s="11" t="n">
        <v>5</v>
      </c>
      <c r="B6" s="11" t="s">
        <v>132</v>
      </c>
      <c r="C6" s="11" t="n">
        <v>2026</v>
      </c>
      <c r="D6" s="11" t="s">
        <v>43</v>
      </c>
      <c r="E6" s="11" t="s">
        <v>180</v>
      </c>
      <c r="F6" s="14"/>
      <c r="G6" s="11" t="s">
        <v>181</v>
      </c>
      <c r="H6" s="11" t="s">
        <v>182</v>
      </c>
      <c r="I6" s="15" t="n">
        <v>0.9888</v>
      </c>
      <c r="J6" s="11" t="s">
        <v>167</v>
      </c>
      <c r="K6" s="16"/>
      <c r="L6" s="11" t="s">
        <v>171</v>
      </c>
      <c r="M6" s="11" t="s">
        <v>183</v>
      </c>
      <c r="N6" s="11" t="str">
        <f aca="false">B6&amp;" ("&amp;D6&amp;")"</f>
        <v>Khan et al. (Multiclass (other))</v>
      </c>
      <c r="O6" s="11" t="n">
        <f aca="false">RANK(I6,$I$2:$I$14)</f>
        <v>9</v>
      </c>
    </row>
    <row r="7" customFormat="false" ht="15" hidden="false" customHeight="true" outlineLevel="0" collapsed="false">
      <c r="A7" s="11" t="n">
        <v>6</v>
      </c>
      <c r="B7" s="11" t="s">
        <v>107</v>
      </c>
      <c r="C7" s="11" t="n">
        <v>2025</v>
      </c>
      <c r="D7" s="11" t="s">
        <v>43</v>
      </c>
      <c r="E7" s="11" t="s">
        <v>180</v>
      </c>
      <c r="F7" s="14"/>
      <c r="G7" s="11" t="s">
        <v>171</v>
      </c>
      <c r="H7" s="11" t="s">
        <v>184</v>
      </c>
      <c r="I7" s="15" t="n">
        <v>0.9925</v>
      </c>
      <c r="J7" s="11" t="s">
        <v>167</v>
      </c>
      <c r="K7" s="16"/>
      <c r="L7" s="11" t="s">
        <v>171</v>
      </c>
      <c r="M7" s="11" t="s">
        <v>185</v>
      </c>
      <c r="N7" s="11" t="str">
        <f aca="false">B7&amp;" ("&amp;D7&amp;")"</f>
        <v>Mughogho (Multiclass (other))</v>
      </c>
      <c r="O7" s="11" t="n">
        <f aca="false">RANK(I7,$I$2:$I$14)</f>
        <v>8</v>
      </c>
    </row>
    <row r="8" customFormat="false" ht="23.25" hidden="false" customHeight="true" outlineLevel="0" collapsed="false">
      <c r="A8" s="11" t="n">
        <v>7</v>
      </c>
      <c r="B8" s="11" t="s">
        <v>127</v>
      </c>
      <c r="C8" s="11" t="n">
        <v>2026</v>
      </c>
      <c r="D8" s="11" t="s">
        <v>40</v>
      </c>
      <c r="E8" s="11" t="s">
        <v>164</v>
      </c>
      <c r="F8" s="14"/>
      <c r="G8" s="11" t="s">
        <v>186</v>
      </c>
      <c r="H8" s="11" t="s">
        <v>187</v>
      </c>
      <c r="I8" s="15" t="n">
        <v>0.994</v>
      </c>
      <c r="J8" s="11" t="s">
        <v>173</v>
      </c>
      <c r="K8" s="16"/>
      <c r="L8" s="11" t="s">
        <v>188</v>
      </c>
      <c r="M8" s="11" t="s">
        <v>189</v>
      </c>
      <c r="N8" s="11" t="str">
        <f aca="false">B8&amp;" ("&amp;D8&amp;")"</f>
        <v>Almahaqeri et al. (34-class)</v>
      </c>
      <c r="O8" s="11" t="n">
        <f aca="false">RANK(I8,$I$2:$I$14)</f>
        <v>6</v>
      </c>
    </row>
    <row r="9" customFormat="false" ht="23.25" hidden="false" customHeight="true" outlineLevel="0" collapsed="false">
      <c r="A9" s="11" t="n">
        <v>8</v>
      </c>
      <c r="B9" s="11" t="s">
        <v>127</v>
      </c>
      <c r="C9" s="11" t="n">
        <v>2026</v>
      </c>
      <c r="D9" s="11" t="s">
        <v>39</v>
      </c>
      <c r="E9" s="11" t="s">
        <v>190</v>
      </c>
      <c r="F9" s="14"/>
      <c r="G9" s="11" t="s">
        <v>186</v>
      </c>
      <c r="H9" s="11" t="s">
        <v>187</v>
      </c>
      <c r="I9" s="15" t="n">
        <v>0.994</v>
      </c>
      <c r="J9" s="11" t="s">
        <v>173</v>
      </c>
      <c r="K9" s="16"/>
      <c r="L9" s="11" t="s">
        <v>188</v>
      </c>
      <c r="M9" s="11" t="s">
        <v>189</v>
      </c>
      <c r="N9" s="11" t="str">
        <f aca="false">B9&amp;" ("&amp;D9&amp;")"</f>
        <v>Almahaqeri et al. (8-class)</v>
      </c>
      <c r="O9" s="11" t="n">
        <f aca="false">RANK(I9,$I$2:$I$14)</f>
        <v>6</v>
      </c>
    </row>
    <row r="10" customFormat="false" ht="15" hidden="false" customHeight="true" outlineLevel="0" collapsed="false">
      <c r="A10" s="11" t="n">
        <v>9</v>
      </c>
      <c r="B10" s="11" t="s">
        <v>107</v>
      </c>
      <c r="C10" s="11" t="n">
        <v>2025</v>
      </c>
      <c r="D10" s="11" t="s">
        <v>38</v>
      </c>
      <c r="E10" s="11" t="s">
        <v>191</v>
      </c>
      <c r="F10" s="14"/>
      <c r="G10" s="11" t="s">
        <v>171</v>
      </c>
      <c r="H10" s="11" t="s">
        <v>184</v>
      </c>
      <c r="I10" s="15" t="n">
        <v>0.998</v>
      </c>
      <c r="J10" s="11" t="s">
        <v>167</v>
      </c>
      <c r="K10" s="16"/>
      <c r="L10" s="11" t="s">
        <v>171</v>
      </c>
      <c r="M10" s="11" t="s">
        <v>192</v>
      </c>
      <c r="N10" s="11" t="str">
        <f aca="false">B10&amp;" ("&amp;D10&amp;")"</f>
        <v>Mughogho (Binary)</v>
      </c>
      <c r="O10" s="11" t="n">
        <f aca="false">RANK(I10,$I$2:$I$14)</f>
        <v>4</v>
      </c>
    </row>
    <row r="11" customFormat="false" ht="15" hidden="false" customHeight="true" outlineLevel="0" collapsed="false">
      <c r="A11" s="11" t="n">
        <v>10</v>
      </c>
      <c r="B11" s="11" t="s">
        <v>127</v>
      </c>
      <c r="C11" s="11" t="n">
        <v>2026</v>
      </c>
      <c r="D11" s="11" t="s">
        <v>38</v>
      </c>
      <c r="E11" s="11" t="s">
        <v>191</v>
      </c>
      <c r="F11" s="14"/>
      <c r="G11" s="11" t="s">
        <v>186</v>
      </c>
      <c r="H11" s="11" t="s">
        <v>193</v>
      </c>
      <c r="I11" s="15" t="n">
        <v>0.9961</v>
      </c>
      <c r="J11" s="11" t="s">
        <v>167</v>
      </c>
      <c r="K11" s="16" t="n">
        <v>0.995</v>
      </c>
      <c r="L11" s="11" t="s">
        <v>188</v>
      </c>
      <c r="M11" s="11" t="s">
        <v>194</v>
      </c>
      <c r="N11" s="11" t="str">
        <f aca="false">B11&amp;" ("&amp;D11&amp;")"</f>
        <v>Almahaqeri et al. (Binary)</v>
      </c>
      <c r="O11" s="11" t="n">
        <f aca="false">RANK(I11,$I$2:$I$14)</f>
        <v>5</v>
      </c>
    </row>
    <row r="12" customFormat="false" ht="15" hidden="false" customHeight="true" outlineLevel="0" collapsed="false">
      <c r="A12" s="11" t="n">
        <v>11</v>
      </c>
      <c r="B12" s="11" t="s">
        <v>102</v>
      </c>
      <c r="C12" s="11" t="n">
        <v>2024</v>
      </c>
      <c r="D12" s="11" t="s">
        <v>43</v>
      </c>
      <c r="E12" s="11" t="s">
        <v>180</v>
      </c>
      <c r="F12" s="14"/>
      <c r="G12" s="11" t="s">
        <v>171</v>
      </c>
      <c r="H12" s="11" t="s">
        <v>195</v>
      </c>
      <c r="I12" s="15" t="n">
        <v>0.9996</v>
      </c>
      <c r="J12" s="11" t="s">
        <v>167</v>
      </c>
      <c r="K12" s="16"/>
      <c r="L12" s="11" t="s">
        <v>171</v>
      </c>
      <c r="M12" s="11" t="s">
        <v>196</v>
      </c>
      <c r="N12" s="11" t="str">
        <f aca="false">B12&amp;" ("&amp;D12&amp;")"</f>
        <v>Yaras &amp; Dener (Multiclass (other))</v>
      </c>
      <c r="O12" s="11" t="n">
        <f aca="false">RANK(I12,$I$2:$I$14)</f>
        <v>2</v>
      </c>
    </row>
    <row r="13" customFormat="false" ht="23.25" hidden="false" customHeight="true" outlineLevel="0" collapsed="false">
      <c r="A13" s="11" t="n">
        <v>12</v>
      </c>
      <c r="B13" s="11" t="s">
        <v>82</v>
      </c>
      <c r="C13" s="11" t="n">
        <v>2024</v>
      </c>
      <c r="D13" s="11" t="s">
        <v>41</v>
      </c>
      <c r="E13" s="11" t="s">
        <v>197</v>
      </c>
      <c r="F13" s="14" t="n">
        <v>45807617</v>
      </c>
      <c r="G13" s="11" t="s">
        <v>198</v>
      </c>
      <c r="H13" s="11" t="s">
        <v>199</v>
      </c>
      <c r="I13" s="15" t="n">
        <v>0.9996</v>
      </c>
      <c r="J13" s="11" t="s">
        <v>167</v>
      </c>
      <c r="K13" s="16"/>
      <c r="L13" s="11" t="s">
        <v>168</v>
      </c>
      <c r="M13" s="11" t="s">
        <v>200</v>
      </c>
      <c r="N13" s="11" t="str">
        <f aca="false">B13&amp;" ("&amp;D13&amp;")"</f>
        <v>Hajjouz &amp; Avksentieva (20-class)</v>
      </c>
      <c r="O13" s="11" t="n">
        <f aca="false">RANK(I13,$I$2:$I$14)</f>
        <v>2</v>
      </c>
    </row>
    <row r="14" customFormat="false" ht="15" hidden="false" customHeight="true" outlineLevel="0" collapsed="false">
      <c r="A14" s="11" t="n">
        <v>13</v>
      </c>
      <c r="B14" s="11" t="s">
        <v>102</v>
      </c>
      <c r="C14" s="11" t="n">
        <v>2024</v>
      </c>
      <c r="D14" s="11" t="s">
        <v>38</v>
      </c>
      <c r="E14" s="11" t="s">
        <v>191</v>
      </c>
      <c r="F14" s="14"/>
      <c r="G14" s="11" t="s">
        <v>171</v>
      </c>
      <c r="H14" s="11" t="s">
        <v>195</v>
      </c>
      <c r="I14" s="15" t="n">
        <v>0.99995</v>
      </c>
      <c r="J14" s="11" t="s">
        <v>167</v>
      </c>
      <c r="K14" s="16"/>
      <c r="L14" s="11" t="s">
        <v>171</v>
      </c>
      <c r="M14" s="11" t="s">
        <v>201</v>
      </c>
      <c r="N14" s="11" t="str">
        <f aca="false">B14&amp;" ("&amp;D14&amp;")"</f>
        <v>Yaras &amp; Dener (Binary)</v>
      </c>
      <c r="O14" s="11" t="n">
        <f aca="false">RANK(I14,$I$2:$I$14)</f>
        <v>1</v>
      </c>
    </row>
  </sheetData>
  <autoFilter ref="A1:O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4" min="3" style="1" width="52"/>
    <col collapsed="false" customWidth="true" hidden="false" outlineLevel="0" max="5" min="5" style="1" width="18"/>
  </cols>
  <sheetData>
    <row r="1" customFormat="false" ht="23.25" hidden="false" customHeight="true" outlineLevel="0" collapsed="false">
      <c r="A1" s="5" t="s">
        <v>36</v>
      </c>
      <c r="B1" s="5" t="s">
        <v>202</v>
      </c>
      <c r="C1" s="5" t="s">
        <v>203</v>
      </c>
      <c r="D1" s="5" t="s">
        <v>204</v>
      </c>
      <c r="E1" s="5" t="s">
        <v>205</v>
      </c>
    </row>
    <row r="2" customFormat="false" ht="15" hidden="false" customHeight="true" outlineLevel="0" collapsed="false">
      <c r="A2" s="11" t="s">
        <v>38</v>
      </c>
      <c r="B2" s="15" t="n">
        <v>0.99995</v>
      </c>
      <c r="C2" s="11" t="s">
        <v>206</v>
      </c>
      <c r="D2" s="11" t="s">
        <v>201</v>
      </c>
      <c r="E2" s="11" t="s">
        <v>207</v>
      </c>
    </row>
    <row r="3" customFormat="false" ht="15" hidden="false" customHeight="true" outlineLevel="0" collapsed="false">
      <c r="A3" s="11" t="s">
        <v>38</v>
      </c>
      <c r="B3" s="15" t="n">
        <v>0.998</v>
      </c>
      <c r="C3" s="11" t="s">
        <v>208</v>
      </c>
      <c r="D3" s="11" t="s">
        <v>209</v>
      </c>
      <c r="E3" s="11" t="s">
        <v>207</v>
      </c>
    </row>
    <row r="4" customFormat="false" ht="15" hidden="false" customHeight="true" outlineLevel="0" collapsed="false">
      <c r="A4" s="11" t="s">
        <v>38</v>
      </c>
      <c r="B4" s="15" t="n">
        <v>0.9961</v>
      </c>
      <c r="C4" s="11" t="s">
        <v>210</v>
      </c>
      <c r="D4" s="11" t="s">
        <v>211</v>
      </c>
      <c r="E4" s="11" t="s">
        <v>188</v>
      </c>
    </row>
    <row r="5" customFormat="false" ht="15" hidden="false" customHeight="true" outlineLevel="0" collapsed="false">
      <c r="A5" s="11" t="s">
        <v>212</v>
      </c>
      <c r="B5" s="15" t="n">
        <v>0.994</v>
      </c>
      <c r="C5" s="11" t="s">
        <v>213</v>
      </c>
      <c r="D5" s="11" t="s">
        <v>211</v>
      </c>
      <c r="E5" s="11" t="s">
        <v>188</v>
      </c>
    </row>
    <row r="6" customFormat="false" ht="15" hidden="false" customHeight="true" outlineLevel="0" collapsed="false">
      <c r="A6" s="11" t="s">
        <v>214</v>
      </c>
      <c r="B6" s="15" t="n">
        <v>0.994</v>
      </c>
      <c r="C6" s="11" t="s">
        <v>213</v>
      </c>
      <c r="D6" s="11" t="s">
        <v>211</v>
      </c>
      <c r="E6" s="11" t="s">
        <v>188</v>
      </c>
    </row>
    <row r="7" customFormat="false" ht="15" hidden="false" customHeight="true" outlineLevel="0" collapsed="false">
      <c r="A7" s="11" t="s">
        <v>214</v>
      </c>
      <c r="B7" s="15" t="n">
        <v>0.9858</v>
      </c>
      <c r="C7" s="11" t="s">
        <v>215</v>
      </c>
      <c r="D7" s="11" t="s">
        <v>216</v>
      </c>
      <c r="E7" s="11" t="s">
        <v>207</v>
      </c>
    </row>
    <row r="8" customFormat="false" ht="15" hidden="false" customHeight="true" outlineLevel="0" collapsed="false">
      <c r="A8" s="11" t="s">
        <v>217</v>
      </c>
      <c r="B8" s="15" t="n">
        <v>0.9996</v>
      </c>
      <c r="C8" s="11" t="s">
        <v>218</v>
      </c>
      <c r="D8" s="11" t="s">
        <v>219</v>
      </c>
      <c r="E8" s="11" t="s">
        <v>220</v>
      </c>
    </row>
    <row r="9" customFormat="false" ht="15" hidden="false" customHeight="true" outlineLevel="0" collapsed="false">
      <c r="A9" s="11" t="s">
        <v>221</v>
      </c>
      <c r="B9" s="15" t="n">
        <v>0.7688</v>
      </c>
      <c r="C9" s="11" t="s">
        <v>222</v>
      </c>
      <c r="D9" s="11" t="s">
        <v>223</v>
      </c>
      <c r="E9" s="11" t="s">
        <v>168</v>
      </c>
    </row>
    <row r="10" customFormat="false" ht="15" hidden="false" customHeight="true" outlineLevel="0" collapsed="false">
      <c r="A10" s="11" t="s">
        <v>175</v>
      </c>
      <c r="B10" s="15" t="n">
        <v>0.9602</v>
      </c>
      <c r="C10" s="11" t="s">
        <v>224</v>
      </c>
      <c r="D10" s="11" t="s">
        <v>225</v>
      </c>
      <c r="E10" s="11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34"/>
    <col collapsed="false" customWidth="true" hidden="false" outlineLevel="0" max="5" min="5" style="1" width="52"/>
    <col collapsed="false" customWidth="true" hidden="false" outlineLevel="0" max="6" min="6" style="1" width="18"/>
    <col collapsed="false" customWidth="true" hidden="false" outlineLevel="0" max="7" min="7" style="1" width="22"/>
  </cols>
  <sheetData>
    <row r="1" customFormat="false" ht="15" hidden="false" customHeight="true" outlineLevel="0" collapsed="false">
      <c r="A1" s="5" t="s">
        <v>226</v>
      </c>
      <c r="B1" s="5" t="s">
        <v>227</v>
      </c>
      <c r="C1" s="5" t="s">
        <v>37</v>
      </c>
      <c r="D1" s="5" t="s">
        <v>228</v>
      </c>
      <c r="E1" s="5" t="s">
        <v>229</v>
      </c>
    </row>
    <row r="2" customFormat="false" ht="34.5" hidden="false" customHeight="true" outlineLevel="0" collapsed="false">
      <c r="A2" s="11" t="s">
        <v>230</v>
      </c>
      <c r="B2" s="11" t="s">
        <v>231</v>
      </c>
      <c r="C2" s="11" t="s">
        <v>232</v>
      </c>
      <c r="D2" s="11" t="s">
        <v>233</v>
      </c>
      <c r="E2" s="11" t="s">
        <v>234</v>
      </c>
    </row>
    <row r="3" customFormat="false" ht="23.25" hidden="false" customHeight="true" outlineLevel="0" collapsed="false">
      <c r="A3" s="11" t="s">
        <v>235</v>
      </c>
      <c r="B3" s="11" t="s">
        <v>236</v>
      </c>
      <c r="C3" s="11" t="s">
        <v>237</v>
      </c>
      <c r="D3" s="11" t="s">
        <v>238</v>
      </c>
      <c r="E3" s="11" t="s">
        <v>239</v>
      </c>
    </row>
    <row r="4" customFormat="false" ht="23.25" hidden="false" customHeight="true" outlineLevel="0" collapsed="false">
      <c r="A4" s="11" t="s">
        <v>240</v>
      </c>
      <c r="B4" s="11" t="s">
        <v>241</v>
      </c>
      <c r="C4" s="11" t="s">
        <v>242</v>
      </c>
      <c r="D4" s="11" t="s">
        <v>243</v>
      </c>
      <c r="E4" s="11" t="s">
        <v>244</v>
      </c>
    </row>
    <row r="7" customFormat="false" ht="15" hidden="false" customHeight="true" outlineLevel="0" collapsed="false">
      <c r="A7" s="4" t="s">
        <v>245</v>
      </c>
    </row>
    <row r="8" customFormat="false" ht="23.25" hidden="false" customHeight="true" outlineLevel="0" collapsed="false">
      <c r="A8" s="5" t="s">
        <v>37</v>
      </c>
      <c r="B8" s="5" t="s">
        <v>246</v>
      </c>
      <c r="C8" s="5" t="s">
        <v>247</v>
      </c>
      <c r="D8" s="5" t="s">
        <v>248</v>
      </c>
      <c r="E8" s="5" t="s">
        <v>249</v>
      </c>
      <c r="F8" s="5" t="s">
        <v>250</v>
      </c>
      <c r="G8" s="5" t="s">
        <v>251</v>
      </c>
    </row>
    <row r="9" customFormat="false" ht="15" hidden="false" customHeight="true" outlineLevel="0" collapsed="false">
      <c r="A9" s="11" t="s">
        <v>252</v>
      </c>
      <c r="B9" s="11" t="s">
        <v>176</v>
      </c>
      <c r="C9" s="17" t="n">
        <v>0.9602</v>
      </c>
      <c r="D9" s="11" t="s">
        <v>193</v>
      </c>
      <c r="E9" s="17" t="n">
        <v>0.9238</v>
      </c>
      <c r="F9" s="18" t="n">
        <f aca="false">(C9-E9)*100</f>
        <v>3.64000000000001</v>
      </c>
      <c r="G9" s="11" t="str">
        <f aca="false">IF(C9&gt;E9,"Deep model","Tree-based model")</f>
        <v>Deep model</v>
      </c>
    </row>
    <row r="10" customFormat="false" ht="23.25" hidden="false" customHeight="true" outlineLevel="0" collapsed="false">
      <c r="A10" s="11" t="s">
        <v>253</v>
      </c>
      <c r="B10" s="11" t="s">
        <v>254</v>
      </c>
      <c r="C10" s="17" t="n">
        <v>0.898</v>
      </c>
      <c r="D10" s="11" t="s">
        <v>255</v>
      </c>
      <c r="E10" s="17" t="n">
        <v>0.9211</v>
      </c>
      <c r="F10" s="18" t="n">
        <f aca="false">(C10-E10)*100</f>
        <v>-2.31</v>
      </c>
      <c r="G10" s="11" t="str">
        <f aca="false">IF(C10&gt;E10,"Deep model","Tree-based model")</f>
        <v>Tree-based model</v>
      </c>
    </row>
    <row r="13" customFormat="false" ht="15" hidden="false" customHeight="true" outlineLevel="0" collapsed="false">
      <c r="A13" s="4" t="s">
        <v>256</v>
      </c>
    </row>
    <row r="14" customFormat="false" ht="23.25" hidden="false" customHeight="true" outlineLevel="0" collapsed="false">
      <c r="A14" s="5" t="s">
        <v>257</v>
      </c>
      <c r="B14" s="5" t="s">
        <v>258</v>
      </c>
      <c r="C14" s="5" t="s">
        <v>259</v>
      </c>
      <c r="D14" s="5" t="s">
        <v>260</v>
      </c>
    </row>
    <row r="15" customFormat="false" ht="15" hidden="false" customHeight="true" outlineLevel="0" collapsed="false">
      <c r="A15" s="11" t="s">
        <v>261</v>
      </c>
      <c r="B15" s="17" t="n">
        <v>0.7688</v>
      </c>
      <c r="C15" s="17" t="n">
        <v>0.7515</v>
      </c>
      <c r="D15" s="18" t="n">
        <f aca="false">(B15-C15)*100</f>
        <v>1.73000000000001</v>
      </c>
    </row>
    <row r="16" customFormat="false" ht="15" hidden="false" customHeight="true" outlineLevel="0" collapsed="false">
      <c r="A16" s="11" t="s">
        <v>262</v>
      </c>
      <c r="B16" s="17" t="n">
        <v>0.998</v>
      </c>
      <c r="C16" s="17" t="n">
        <v>0.9969</v>
      </c>
      <c r="D16" s="18" t="n">
        <f aca="false">(B16-C16)*100</f>
        <v>0.109999999999999</v>
      </c>
    </row>
    <row r="17" customFormat="false" ht="15" hidden="false" customHeight="true" outlineLevel="0" collapsed="false">
      <c r="A17" s="11" t="s">
        <v>263</v>
      </c>
      <c r="B17" s="17" t="n">
        <v>0.9925</v>
      </c>
      <c r="C17" s="17" t="n">
        <v>0.9911</v>
      </c>
      <c r="D17" s="18" t="n">
        <f aca="false">(B17-C17)*100</f>
        <v>0.140000000000007</v>
      </c>
    </row>
    <row r="18" customFormat="false" ht="15" hidden="false" customHeight="true" outlineLevel="0" collapsed="false">
      <c r="A18" s="4" t="s">
        <v>264</v>
      </c>
      <c r="D18" s="19" t="n">
        <f aca="false">AVERAGE(D15:D17)</f>
        <v>0.660000000000005</v>
      </c>
    </row>
    <row r="20" customFormat="false" ht="15" hidden="false" customHeight="true" outlineLevel="0" collapsed="false">
      <c r="A20" s="3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6" min="5" style="1" width="22"/>
    <col collapsed="false" customWidth="true" hidden="false" outlineLevel="0" max="7" min="7" style="1" width="44"/>
  </cols>
  <sheetData>
    <row r="1" customFormat="false" ht="23.25" hidden="false" customHeight="true" outlineLevel="0" collapsed="false">
      <c r="A1" s="5" t="s">
        <v>37</v>
      </c>
      <c r="B1" s="5" t="s">
        <v>266</v>
      </c>
      <c r="C1" s="5" t="s">
        <v>267</v>
      </c>
      <c r="D1" s="5" t="s">
        <v>268</v>
      </c>
      <c r="E1" s="5" t="s">
        <v>269</v>
      </c>
      <c r="F1" s="5" t="s">
        <v>270</v>
      </c>
      <c r="G1" s="5" t="s">
        <v>271</v>
      </c>
    </row>
    <row r="2" customFormat="false" ht="15" hidden="false" customHeight="true" outlineLevel="0" collapsed="false">
      <c r="A2" s="11" t="s">
        <v>272</v>
      </c>
      <c r="B2" s="11" t="s">
        <v>273</v>
      </c>
      <c r="C2" s="12" t="n">
        <v>0.355</v>
      </c>
      <c r="D2" s="12" t="s">
        <v>274</v>
      </c>
      <c r="E2" s="20" t="n">
        <f aca="false">C2*IF(D2="s",1000000,IF(D2="ms",1000,1))</f>
        <v>0.355</v>
      </c>
      <c r="F2" s="18" t="n">
        <f aca="false">E2/MIN($E$2:$E$3)</f>
        <v>1</v>
      </c>
      <c r="G2" s="11" t="s">
        <v>275</v>
      </c>
    </row>
    <row r="3" customFormat="false" ht="15" hidden="false" customHeight="true" outlineLevel="0" collapsed="false">
      <c r="A3" s="11" t="s">
        <v>276</v>
      </c>
      <c r="B3" s="11" t="s">
        <v>277</v>
      </c>
      <c r="C3" s="12" t="n">
        <v>7.16E-007</v>
      </c>
      <c r="D3" s="12" t="s">
        <v>278</v>
      </c>
      <c r="E3" s="20" t="n">
        <f aca="false">C3*IF(D3="s",1000000,IF(D3="ms",1000,1))</f>
        <v>0.716</v>
      </c>
      <c r="F3" s="18" t="n">
        <f aca="false">E3/MIN($E$2:$E$3)</f>
        <v>2.0169014084507</v>
      </c>
      <c r="G3" s="11" t="s">
        <v>279</v>
      </c>
    </row>
    <row r="4" customFormat="false" ht="15" hidden="false" customHeight="true" outlineLevel="0" collapsed="false">
      <c r="A4" s="11" t="s">
        <v>280</v>
      </c>
      <c r="B4" s="11" t="s">
        <v>281</v>
      </c>
      <c r="C4" s="12" t="n">
        <v>8</v>
      </c>
      <c r="D4" s="12" t="s">
        <v>282</v>
      </c>
      <c r="E4" s="20" t="n">
        <f aca="false">C4*IF(D4="s",1000000,IF(D4="ms",1000,1))</f>
        <v>8000</v>
      </c>
      <c r="F4" s="18" t="n">
        <f aca="false">E4/MIN($E$4:$E$9)</f>
        <v>1</v>
      </c>
      <c r="G4" s="11" t="s">
        <v>283</v>
      </c>
    </row>
    <row r="5" customFormat="false" ht="15" hidden="false" customHeight="true" outlineLevel="0" collapsed="false">
      <c r="A5" s="11" t="s">
        <v>280</v>
      </c>
      <c r="B5" s="11" t="s">
        <v>284</v>
      </c>
      <c r="C5" s="12" t="n">
        <v>12</v>
      </c>
      <c r="D5" s="12" t="s">
        <v>282</v>
      </c>
      <c r="E5" s="20" t="n">
        <f aca="false">C5*IF(D5="s",1000000,IF(D5="ms",1000,1))</f>
        <v>12000</v>
      </c>
      <c r="F5" s="18" t="n">
        <f aca="false">E5/MIN($E$4:$E$9)</f>
        <v>1.5</v>
      </c>
      <c r="G5" s="11" t="s">
        <v>283</v>
      </c>
    </row>
    <row r="6" customFormat="false" ht="15" hidden="false" customHeight="true" outlineLevel="0" collapsed="false">
      <c r="A6" s="11" t="s">
        <v>280</v>
      </c>
      <c r="B6" s="11" t="s">
        <v>193</v>
      </c>
      <c r="C6" s="12" t="n">
        <v>18</v>
      </c>
      <c r="D6" s="12" t="s">
        <v>282</v>
      </c>
      <c r="E6" s="20" t="n">
        <f aca="false">C6*IF(D6="s",1000000,IF(D6="ms",1000,1))</f>
        <v>18000</v>
      </c>
      <c r="F6" s="18" t="n">
        <f aca="false">E6/MIN($E$4:$E$9)</f>
        <v>2.25</v>
      </c>
      <c r="G6" s="11" t="s">
        <v>283</v>
      </c>
    </row>
    <row r="7" customFormat="false" ht="15" hidden="false" customHeight="true" outlineLevel="0" collapsed="false">
      <c r="A7" s="11" t="s">
        <v>280</v>
      </c>
      <c r="B7" s="11" t="s">
        <v>285</v>
      </c>
      <c r="C7" s="12" t="n">
        <v>45</v>
      </c>
      <c r="D7" s="12" t="s">
        <v>282</v>
      </c>
      <c r="E7" s="20" t="n">
        <f aca="false">C7*IF(D7="s",1000000,IF(D7="ms",1000,1))</f>
        <v>45000</v>
      </c>
      <c r="F7" s="18" t="n">
        <f aca="false">E7/MIN($E$4:$E$9)</f>
        <v>5.625</v>
      </c>
      <c r="G7" s="11" t="s">
        <v>283</v>
      </c>
    </row>
    <row r="8" customFormat="false" ht="15" hidden="false" customHeight="true" outlineLevel="0" collapsed="false">
      <c r="A8" s="11" t="s">
        <v>280</v>
      </c>
      <c r="B8" s="11" t="s">
        <v>176</v>
      </c>
      <c r="C8" s="12" t="n">
        <v>78</v>
      </c>
      <c r="D8" s="12" t="s">
        <v>282</v>
      </c>
      <c r="E8" s="20" t="n">
        <f aca="false">C8*IF(D8="s",1000000,IF(D8="ms",1000,1))</f>
        <v>78000</v>
      </c>
      <c r="F8" s="18" t="n">
        <f aca="false">E8/MIN($E$4:$E$9)</f>
        <v>9.75</v>
      </c>
      <c r="G8" s="11" t="s">
        <v>283</v>
      </c>
    </row>
    <row r="9" customFormat="false" ht="15" hidden="false" customHeight="true" outlineLevel="0" collapsed="false">
      <c r="A9" s="11" t="s">
        <v>280</v>
      </c>
      <c r="B9" s="11" t="s">
        <v>286</v>
      </c>
      <c r="C9" s="12" t="n">
        <v>95</v>
      </c>
      <c r="D9" s="12" t="s">
        <v>282</v>
      </c>
      <c r="E9" s="20" t="n">
        <f aca="false">C9*IF(D9="s",1000000,IF(D9="ms",1000,1))</f>
        <v>95000</v>
      </c>
      <c r="F9" s="18" t="n">
        <f aca="false">E9/MIN($E$4:$E$9)</f>
        <v>11.875</v>
      </c>
      <c r="G9" s="11" t="s">
        <v>283</v>
      </c>
    </row>
    <row r="11" customFormat="false" ht="15" hidden="false" customHeight="true" outlineLevel="0" collapsed="false">
      <c r="A11" s="3" t="s">
        <v>287</v>
      </c>
    </row>
    <row r="13" customFormat="false" ht="15" hidden="false" customHeight="true" outlineLevel="0" collapsed="false">
      <c r="A13" s="4" t="s">
        <v>288</v>
      </c>
    </row>
    <row r="14" customFormat="false" ht="15" hidden="false" customHeight="true" outlineLevel="0" collapsed="false">
      <c r="A14" s="5" t="s">
        <v>289</v>
      </c>
      <c r="B14" s="5" t="s">
        <v>23</v>
      </c>
      <c r="C14" s="5" t="s">
        <v>290</v>
      </c>
    </row>
    <row r="15" customFormat="false" ht="15" hidden="false" customHeight="true" outlineLevel="0" collapsed="false">
      <c r="A15" s="11" t="s">
        <v>291</v>
      </c>
      <c r="B15" s="12" t="n">
        <v>46</v>
      </c>
      <c r="C15" s="11" t="s">
        <v>292</v>
      </c>
    </row>
    <row r="16" customFormat="false" ht="15" hidden="false" customHeight="true" outlineLevel="0" collapsed="false">
      <c r="A16" s="11" t="s">
        <v>293</v>
      </c>
      <c r="B16" s="12" t="n">
        <v>23</v>
      </c>
      <c r="C16" s="11" t="s">
        <v>292</v>
      </c>
    </row>
    <row r="17" customFormat="false" ht="15" hidden="false" customHeight="true" outlineLevel="0" collapsed="false">
      <c r="A17" s="11" t="s">
        <v>294</v>
      </c>
      <c r="B17" s="21" t="n">
        <f aca="false">1-B16/B15</f>
        <v>0.5</v>
      </c>
      <c r="C17" s="11" t="s">
        <v>295</v>
      </c>
    </row>
    <row r="18" customFormat="false" ht="23.25" hidden="false" customHeight="true" outlineLevel="0" collapsed="false">
      <c r="A18" s="11" t="s">
        <v>296</v>
      </c>
      <c r="B18" s="22" t="n">
        <v>0.3</v>
      </c>
      <c r="C18" s="11" t="s">
        <v>297</v>
      </c>
    </row>
    <row r="19" customFormat="false" ht="23.25" hidden="false" customHeight="true" outlineLevel="0" collapsed="false">
      <c r="A19" s="11" t="s">
        <v>298</v>
      </c>
      <c r="B19" s="22" t="n">
        <v>0.51</v>
      </c>
      <c r="C19" s="11" t="s">
        <v>297</v>
      </c>
    </row>
    <row r="20" customFormat="false" ht="23.25" hidden="false" customHeight="true" outlineLevel="0" collapsed="false">
      <c r="A20" s="11" t="s">
        <v>299</v>
      </c>
      <c r="B20" s="22" t="n">
        <v>0.33</v>
      </c>
      <c r="C20" s="11" t="s">
        <v>300</v>
      </c>
    </row>
    <row r="21" customFormat="false" ht="23.25" hidden="false" customHeight="true" outlineLevel="0" collapsed="false">
      <c r="A21" s="11" t="s">
        <v>301</v>
      </c>
      <c r="B21" s="22" t="n">
        <v>0.4</v>
      </c>
      <c r="C21" s="11" t="s">
        <v>300</v>
      </c>
    </row>
    <row r="22" customFormat="false" ht="23.25" hidden="false" customHeight="true" outlineLevel="0" collapsed="false">
      <c r="A22" s="11" t="s">
        <v>302</v>
      </c>
      <c r="B22" s="23" t="n">
        <v>0.014</v>
      </c>
      <c r="C22" s="11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22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8" min="6" style="1" width="16"/>
  </cols>
  <sheetData>
    <row r="1" customFormat="false" ht="23.25" hidden="false" customHeight="true" outlineLevel="0" collapsed="false">
      <c r="A1" s="5" t="s">
        <v>37</v>
      </c>
      <c r="B1" s="5" t="s">
        <v>160</v>
      </c>
      <c r="C1" s="5" t="s">
        <v>304</v>
      </c>
      <c r="D1" s="5" t="s">
        <v>305</v>
      </c>
      <c r="E1" s="5" t="s">
        <v>306</v>
      </c>
      <c r="F1" s="5" t="s">
        <v>307</v>
      </c>
      <c r="G1" s="5" t="s">
        <v>308</v>
      </c>
      <c r="H1" s="5" t="s">
        <v>309</v>
      </c>
    </row>
    <row r="2" customFormat="false" ht="15" hidden="false" customHeight="true" outlineLevel="0" collapsed="false">
      <c r="A2" s="11" t="s">
        <v>310</v>
      </c>
      <c r="B2" s="12" t="s">
        <v>168</v>
      </c>
      <c r="C2" s="12" t="s">
        <v>168</v>
      </c>
      <c r="D2" s="12" t="s">
        <v>188</v>
      </c>
      <c r="E2" s="12" t="s">
        <v>188</v>
      </c>
      <c r="F2" s="12" t="s">
        <v>188</v>
      </c>
      <c r="G2" s="11" t="n">
        <f aca="false">COUNTIF(B2:F2,"Yes")</f>
        <v>2</v>
      </c>
      <c r="H2" s="11" t="str">
        <f aca="false">IF(G2&gt;=4,"High",IF(G2&gt;=2,"Medium","Low"))</f>
        <v>Medium</v>
      </c>
    </row>
    <row r="3" customFormat="false" ht="15" hidden="false" customHeight="true" outlineLevel="0" collapsed="false">
      <c r="A3" s="11" t="s">
        <v>276</v>
      </c>
      <c r="B3" s="12" t="s">
        <v>168</v>
      </c>
      <c r="C3" s="12" t="s">
        <v>311</v>
      </c>
      <c r="D3" s="12" t="s">
        <v>168</v>
      </c>
      <c r="E3" s="12" t="s">
        <v>168</v>
      </c>
      <c r="F3" s="12" t="s">
        <v>188</v>
      </c>
      <c r="G3" s="11" t="n">
        <f aca="false">COUNTIF(B3:F3,"Yes")</f>
        <v>3</v>
      </c>
      <c r="H3" s="11" t="str">
        <f aca="false">IF(G3&gt;=4,"High",IF(G3&gt;=2,"Medium","Low"))</f>
        <v>Medium</v>
      </c>
    </row>
    <row r="4" customFormat="false" ht="15" hidden="false" customHeight="true" outlineLevel="0" collapsed="false">
      <c r="A4" s="11" t="s">
        <v>272</v>
      </c>
      <c r="B4" s="12" t="s">
        <v>188</v>
      </c>
      <c r="C4" s="12" t="s">
        <v>168</v>
      </c>
      <c r="D4" s="12" t="s">
        <v>171</v>
      </c>
      <c r="E4" s="12" t="s">
        <v>168</v>
      </c>
      <c r="F4" s="12" t="s">
        <v>188</v>
      </c>
      <c r="G4" s="11" t="n">
        <f aca="false">COUNTIF(B4:F4,"Yes")</f>
        <v>2</v>
      </c>
      <c r="H4" s="11" t="str">
        <f aca="false">IF(G4&gt;=4,"High",IF(G4&gt;=2,"Medium","Low"))</f>
        <v>Medium</v>
      </c>
    </row>
    <row r="5" customFormat="false" ht="15" hidden="false" customHeight="true" outlineLevel="0" collapsed="false">
      <c r="A5" s="11" t="s">
        <v>280</v>
      </c>
      <c r="B5" s="12" t="s">
        <v>171</v>
      </c>
      <c r="C5" s="12" t="s">
        <v>311</v>
      </c>
      <c r="D5" s="12" t="s">
        <v>168</v>
      </c>
      <c r="E5" s="12" t="s">
        <v>168</v>
      </c>
      <c r="F5" s="12" t="s">
        <v>168</v>
      </c>
      <c r="G5" s="11" t="n">
        <f aca="false">COUNTIF(B5:F5,"Yes")</f>
        <v>3</v>
      </c>
      <c r="H5" s="11" t="str">
        <f aca="false">IF(G5&gt;=4,"High",IF(G5&gt;=2,"Medium","Low"))</f>
        <v>Medium</v>
      </c>
    </row>
    <row r="6" customFormat="false" ht="15" hidden="false" customHeight="true" outlineLevel="0" collapsed="false">
      <c r="A6" s="11" t="s">
        <v>312</v>
      </c>
      <c r="B6" s="12" t="s">
        <v>171</v>
      </c>
      <c r="C6" s="12" t="s">
        <v>171</v>
      </c>
      <c r="D6" s="12" t="s">
        <v>171</v>
      </c>
      <c r="E6" s="12" t="s">
        <v>168</v>
      </c>
      <c r="F6" s="12" t="s">
        <v>168</v>
      </c>
      <c r="G6" s="11" t="n">
        <f aca="false">COUNTIF(B6:F6,"Yes")</f>
        <v>2</v>
      </c>
      <c r="H6" s="11" t="str">
        <f aca="false">IF(G6&gt;=4,"High",IF(G6&gt;=2,"Medium","Low"))</f>
        <v>Medium</v>
      </c>
    </row>
    <row r="7" customFormat="false" ht="15" hidden="false" customHeight="true" outlineLevel="0" collapsed="false">
      <c r="A7" s="11" t="s">
        <v>313</v>
      </c>
      <c r="B7" s="12" t="s">
        <v>171</v>
      </c>
      <c r="C7" s="12" t="s">
        <v>168</v>
      </c>
      <c r="D7" s="12" t="s">
        <v>171</v>
      </c>
      <c r="E7" s="12" t="s">
        <v>171</v>
      </c>
      <c r="F7" s="12" t="s">
        <v>168</v>
      </c>
      <c r="G7" s="11" t="n">
        <f aca="false">COUNTIF(B7:F7,"Yes")</f>
        <v>2</v>
      </c>
      <c r="H7" s="11" t="str">
        <f aca="false">IF(G7&gt;=4,"High",IF(G7&gt;=2,"Medium","Low"))</f>
        <v>Medium</v>
      </c>
    </row>
    <row r="9" customFormat="false" ht="15" hidden="false" customHeight="true" outlineLevel="0" collapsed="false">
      <c r="A9" s="3" t="s">
        <v>314</v>
      </c>
    </row>
    <row r="10" customFormat="false" ht="15" hidden="false" customHeight="true" outlineLevel="0" collapsed="false">
      <c r="A10" s="4" t="s">
        <v>315</v>
      </c>
      <c r="B10" s="4" t="n">
        <f aca="false">COUNTIF(G2:G7,5)</f>
        <v>0</v>
      </c>
    </row>
    <row r="11" customFormat="false" ht="15" hidden="false" customHeight="true" outlineLevel="0" collapsed="false">
      <c r="A11" s="4" t="s">
        <v>316</v>
      </c>
      <c r="B11" s="4" t="n">
        <f aca="false">MAX(G2:G7)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90"/>
    <col collapsed="false" customWidth="true" hidden="false" outlineLevel="0" max="3" min="3" style="1" width="40"/>
  </cols>
  <sheetData>
    <row r="1" customFormat="false" ht="15" hidden="false" customHeight="true" outlineLevel="0" collapsed="false">
      <c r="A1" s="5" t="s">
        <v>317</v>
      </c>
      <c r="B1" s="5" t="s">
        <v>318</v>
      </c>
      <c r="C1" s="5" t="s">
        <v>319</v>
      </c>
    </row>
    <row r="2" customFormat="false" ht="23.25" hidden="false" customHeight="true" outlineLevel="0" collapsed="false">
      <c r="A2" s="11" t="s">
        <v>320</v>
      </c>
      <c r="B2" s="11" t="s">
        <v>321</v>
      </c>
      <c r="C2" s="11" t="s">
        <v>322</v>
      </c>
    </row>
    <row r="3" customFormat="false" ht="23.25" hidden="false" customHeight="true" outlineLevel="0" collapsed="false">
      <c r="A3" s="11" t="s">
        <v>323</v>
      </c>
      <c r="B3" s="11" t="s">
        <v>324</v>
      </c>
      <c r="C3" s="11" t="s">
        <v>325</v>
      </c>
    </row>
    <row r="4" customFormat="false" ht="15" hidden="false" customHeight="true" outlineLevel="0" collapsed="false">
      <c r="A4" s="11" t="s">
        <v>326</v>
      </c>
      <c r="B4" s="11" t="s">
        <v>327</v>
      </c>
      <c r="C4" s="11" t="s">
        <v>328</v>
      </c>
    </row>
    <row r="5" customFormat="false" ht="15" hidden="false" customHeight="true" outlineLevel="0" collapsed="false">
      <c r="A5" s="11" t="s">
        <v>329</v>
      </c>
      <c r="B5" s="11" t="s">
        <v>330</v>
      </c>
      <c r="C5" s="11" t="s">
        <v>331</v>
      </c>
    </row>
    <row r="6" customFormat="false" ht="15" hidden="false" customHeight="true" outlineLevel="0" collapsed="false">
      <c r="A6" s="11" t="s">
        <v>332</v>
      </c>
      <c r="B6" s="11" t="s">
        <v>333</v>
      </c>
      <c r="C6" s="11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7"/>
    <col collapsed="false" customWidth="true" hidden="false" outlineLevel="0" max="4" min="4" style="1" width="22"/>
    <col collapsed="false" customWidth="true" hidden="false" outlineLevel="0" max="5" min="5" style="1" width="44"/>
    <col collapsed="false" customWidth="true" hidden="false" outlineLevel="0" max="6" min="6" style="1" width="46"/>
    <col collapsed="false" customWidth="true" hidden="false" outlineLevel="0" max="7" min="7" style="1" width="18"/>
  </cols>
  <sheetData>
    <row r="1" customFormat="false" ht="15" hidden="false" customHeight="true" outlineLevel="0" collapsed="false">
      <c r="A1" s="5" t="s">
        <v>335</v>
      </c>
      <c r="B1" s="5" t="s">
        <v>37</v>
      </c>
      <c r="C1" s="5" t="s">
        <v>46</v>
      </c>
      <c r="D1" s="5" t="s">
        <v>336</v>
      </c>
      <c r="E1" s="5" t="s">
        <v>337</v>
      </c>
      <c r="F1" s="5" t="s">
        <v>338</v>
      </c>
      <c r="G1" s="5" t="s">
        <v>339</v>
      </c>
    </row>
    <row r="2" customFormat="false" ht="15" hidden="false" customHeight="true" outlineLevel="0" collapsed="false">
      <c r="A2" s="11" t="n">
        <v>1</v>
      </c>
      <c r="B2" s="11" t="s">
        <v>51</v>
      </c>
      <c r="C2" s="11" t="n">
        <v>2026</v>
      </c>
      <c r="D2" s="11" t="s">
        <v>340</v>
      </c>
      <c r="E2" s="11" t="s">
        <v>341</v>
      </c>
      <c r="F2" s="11" t="s">
        <v>342</v>
      </c>
      <c r="G2" s="11" t="s">
        <v>343</v>
      </c>
    </row>
    <row r="3" customFormat="false" ht="15" hidden="false" customHeight="true" outlineLevel="0" collapsed="false">
      <c r="A3" s="11" t="n">
        <v>2</v>
      </c>
      <c r="B3" s="11" t="s">
        <v>56</v>
      </c>
      <c r="C3" s="11" t="n">
        <v>2025</v>
      </c>
      <c r="D3" s="11" t="s">
        <v>344</v>
      </c>
      <c r="E3" s="11" t="s">
        <v>345</v>
      </c>
      <c r="F3" s="11" t="s">
        <v>346</v>
      </c>
      <c r="G3" s="11" t="s">
        <v>188</v>
      </c>
    </row>
    <row r="4" customFormat="false" ht="15" hidden="false" customHeight="true" outlineLevel="0" collapsed="false">
      <c r="A4" s="11" t="n">
        <v>3</v>
      </c>
      <c r="B4" s="11" t="s">
        <v>61</v>
      </c>
      <c r="C4" s="11" t="n">
        <v>2025</v>
      </c>
      <c r="D4" s="11" t="s">
        <v>344</v>
      </c>
      <c r="E4" s="11" t="s">
        <v>347</v>
      </c>
      <c r="F4" s="11" t="s">
        <v>178</v>
      </c>
      <c r="G4" s="11" t="s">
        <v>168</v>
      </c>
    </row>
    <row r="5" customFormat="false" ht="15" hidden="false" customHeight="true" outlineLevel="0" collapsed="false">
      <c r="A5" s="11" t="n">
        <v>4</v>
      </c>
      <c r="B5" s="11" t="s">
        <v>66</v>
      </c>
      <c r="C5" s="11" t="n">
        <v>2025</v>
      </c>
      <c r="D5" s="11" t="s">
        <v>344</v>
      </c>
      <c r="E5" s="11" t="s">
        <v>348</v>
      </c>
      <c r="F5" s="11" t="s">
        <v>349</v>
      </c>
      <c r="G5" s="11" t="s">
        <v>168</v>
      </c>
    </row>
    <row r="6" customFormat="false" ht="15" hidden="false" customHeight="true" outlineLevel="0" collapsed="false">
      <c r="A6" s="11" t="n">
        <v>5</v>
      </c>
      <c r="B6" s="11" t="s">
        <v>71</v>
      </c>
      <c r="C6" s="11"/>
      <c r="D6" s="11" t="s">
        <v>340</v>
      </c>
      <c r="E6" s="11" t="s">
        <v>350</v>
      </c>
      <c r="F6" s="11" t="s">
        <v>351</v>
      </c>
      <c r="G6" s="11" t="s">
        <v>343</v>
      </c>
    </row>
    <row r="7" customFormat="false" ht="15" hidden="false" customHeight="true" outlineLevel="0" collapsed="false">
      <c r="A7" s="11" t="n">
        <v>6</v>
      </c>
      <c r="B7" s="11" t="s">
        <v>77</v>
      </c>
      <c r="C7" s="11" t="n">
        <v>2026</v>
      </c>
      <c r="D7" s="11" t="s">
        <v>344</v>
      </c>
      <c r="E7" s="11" t="s">
        <v>352</v>
      </c>
      <c r="F7" s="11" t="s">
        <v>353</v>
      </c>
      <c r="G7" s="11" t="s">
        <v>168</v>
      </c>
    </row>
    <row r="8" customFormat="false" ht="15" hidden="false" customHeight="true" outlineLevel="0" collapsed="false">
      <c r="A8" s="11" t="n">
        <v>7</v>
      </c>
      <c r="B8" s="11" t="s">
        <v>82</v>
      </c>
      <c r="C8" s="11" t="n">
        <v>2024</v>
      </c>
      <c r="D8" s="11" t="s">
        <v>344</v>
      </c>
      <c r="E8" s="11" t="s">
        <v>348</v>
      </c>
      <c r="F8" s="11" t="s">
        <v>354</v>
      </c>
      <c r="G8" s="11" t="s">
        <v>168</v>
      </c>
    </row>
    <row r="9" customFormat="false" ht="15" hidden="false" customHeight="true" outlineLevel="0" collapsed="false">
      <c r="A9" s="11" t="n">
        <v>8</v>
      </c>
      <c r="B9" s="11" t="s">
        <v>87</v>
      </c>
      <c r="C9" s="11" t="n">
        <v>2026</v>
      </c>
      <c r="D9" s="11" t="s">
        <v>355</v>
      </c>
      <c r="E9" s="11" t="s">
        <v>356</v>
      </c>
      <c r="F9" s="11" t="s">
        <v>357</v>
      </c>
      <c r="G9" s="11" t="s">
        <v>343</v>
      </c>
    </row>
    <row r="10" customFormat="false" ht="15" hidden="false" customHeight="true" outlineLevel="0" collapsed="false">
      <c r="A10" s="11" t="n">
        <v>9</v>
      </c>
      <c r="B10" s="11" t="s">
        <v>92</v>
      </c>
      <c r="C10" s="11" t="n">
        <v>2025</v>
      </c>
      <c r="D10" s="11" t="s">
        <v>344</v>
      </c>
      <c r="E10" s="11" t="s">
        <v>348</v>
      </c>
      <c r="F10" s="11" t="s">
        <v>358</v>
      </c>
      <c r="G10" s="11" t="s">
        <v>168</v>
      </c>
    </row>
    <row r="11" customFormat="false" ht="15" hidden="false" customHeight="true" outlineLevel="0" collapsed="false">
      <c r="A11" s="11" t="n">
        <v>10</v>
      </c>
      <c r="B11" s="11" t="s">
        <v>97</v>
      </c>
      <c r="C11" s="11" t="n">
        <v>2025</v>
      </c>
      <c r="D11" s="11" t="s">
        <v>340</v>
      </c>
      <c r="E11" s="11" t="s">
        <v>359</v>
      </c>
      <c r="F11" s="11" t="s">
        <v>360</v>
      </c>
      <c r="G11" s="11" t="s">
        <v>188</v>
      </c>
    </row>
    <row r="12" customFormat="false" ht="15" hidden="false" customHeight="true" outlineLevel="0" collapsed="false">
      <c r="A12" s="11" t="n">
        <v>11</v>
      </c>
      <c r="B12" s="11" t="s">
        <v>102</v>
      </c>
      <c r="C12" s="11" t="n">
        <v>2024</v>
      </c>
      <c r="D12" s="11" t="s">
        <v>344</v>
      </c>
      <c r="E12" s="11" t="s">
        <v>361</v>
      </c>
      <c r="F12" s="11" t="s">
        <v>362</v>
      </c>
      <c r="G12" s="11" t="s">
        <v>168</v>
      </c>
    </row>
    <row r="13" customFormat="false" ht="15" hidden="false" customHeight="true" outlineLevel="0" collapsed="false">
      <c r="A13" s="11" t="n">
        <v>12</v>
      </c>
      <c r="B13" s="11" t="s">
        <v>107</v>
      </c>
      <c r="C13" s="11" t="n">
        <v>2025</v>
      </c>
      <c r="D13" s="11" t="s">
        <v>363</v>
      </c>
      <c r="E13" s="11" t="s">
        <v>348</v>
      </c>
      <c r="F13" s="11" t="s">
        <v>364</v>
      </c>
      <c r="G13" s="11" t="s">
        <v>168</v>
      </c>
    </row>
    <row r="14" customFormat="false" ht="15" hidden="false" customHeight="true" outlineLevel="0" collapsed="false">
      <c r="A14" s="11" t="n">
        <v>13</v>
      </c>
      <c r="B14" s="11" t="s">
        <v>112</v>
      </c>
      <c r="C14" s="11" t="n">
        <v>2026</v>
      </c>
      <c r="D14" s="11" t="s">
        <v>355</v>
      </c>
      <c r="E14" s="11" t="s">
        <v>365</v>
      </c>
      <c r="F14" s="11" t="s">
        <v>366</v>
      </c>
      <c r="G14" s="11" t="s">
        <v>343</v>
      </c>
    </row>
    <row r="15" customFormat="false" ht="15" hidden="false" customHeight="true" outlineLevel="0" collapsed="false">
      <c r="A15" s="11" t="n">
        <v>14</v>
      </c>
      <c r="B15" s="11" t="s">
        <v>117</v>
      </c>
      <c r="C15" s="11" t="n">
        <v>2026</v>
      </c>
      <c r="D15" s="11" t="s">
        <v>367</v>
      </c>
      <c r="E15" s="11" t="s">
        <v>368</v>
      </c>
      <c r="F15" s="11" t="s">
        <v>369</v>
      </c>
      <c r="G15" s="11" t="s">
        <v>343</v>
      </c>
    </row>
    <row r="16" customFormat="false" ht="15" hidden="false" customHeight="true" outlineLevel="0" collapsed="false">
      <c r="A16" s="11" t="n">
        <v>15</v>
      </c>
      <c r="B16" s="11" t="s">
        <v>122</v>
      </c>
      <c r="C16" s="11" t="n">
        <v>2025</v>
      </c>
      <c r="D16" s="11" t="s">
        <v>370</v>
      </c>
      <c r="E16" s="11" t="s">
        <v>371</v>
      </c>
      <c r="F16" s="11" t="s">
        <v>372</v>
      </c>
      <c r="G16" s="11" t="s">
        <v>171</v>
      </c>
    </row>
    <row r="17" customFormat="false" ht="15" hidden="false" customHeight="true" outlineLevel="0" collapsed="false">
      <c r="A17" s="11" t="n">
        <v>16</v>
      </c>
      <c r="B17" s="11" t="s">
        <v>127</v>
      </c>
      <c r="C17" s="11" t="n">
        <v>2026</v>
      </c>
      <c r="D17" s="11" t="s">
        <v>344</v>
      </c>
      <c r="E17" s="11" t="s">
        <v>348</v>
      </c>
      <c r="F17" s="11" t="s">
        <v>373</v>
      </c>
      <c r="G17" s="11" t="s">
        <v>168</v>
      </c>
    </row>
    <row r="18" customFormat="false" ht="15" hidden="false" customHeight="true" outlineLevel="0" collapsed="false">
      <c r="A18" s="11" t="n">
        <v>17</v>
      </c>
      <c r="B18" s="11" t="s">
        <v>132</v>
      </c>
      <c r="C18" s="11" t="n">
        <v>2026</v>
      </c>
      <c r="D18" s="11" t="s">
        <v>344</v>
      </c>
      <c r="E18" s="11" t="s">
        <v>374</v>
      </c>
      <c r="F18" s="11" t="s">
        <v>375</v>
      </c>
      <c r="G18" s="11" t="s">
        <v>168</v>
      </c>
    </row>
    <row r="19" customFormat="false" ht="15" hidden="false" customHeight="true" outlineLevel="0" collapsed="false">
      <c r="A19" s="11" t="n">
        <v>18</v>
      </c>
      <c r="B19" s="11" t="s">
        <v>137</v>
      </c>
      <c r="C19" s="11" t="n">
        <v>2025</v>
      </c>
      <c r="D19" s="11" t="s">
        <v>355</v>
      </c>
      <c r="E19" s="11" t="s">
        <v>376</v>
      </c>
      <c r="F19" s="11" t="s">
        <v>377</v>
      </c>
      <c r="G19" s="11" t="s">
        <v>188</v>
      </c>
    </row>
    <row r="20" customFormat="false" ht="15" hidden="false" customHeight="true" outlineLevel="0" collapsed="false">
      <c r="A20" s="11" t="n">
        <v>19</v>
      </c>
      <c r="B20" s="11" t="s">
        <v>142</v>
      </c>
      <c r="C20" s="11" t="n">
        <v>2025</v>
      </c>
      <c r="D20" s="11" t="s">
        <v>367</v>
      </c>
      <c r="E20" s="11" t="s">
        <v>359</v>
      </c>
      <c r="F20" s="11" t="s">
        <v>378</v>
      </c>
      <c r="G20" s="11" t="s">
        <v>188</v>
      </c>
    </row>
    <row r="21" customFormat="false" ht="15" hidden="false" customHeight="true" outlineLevel="0" collapsed="false">
      <c r="A21" s="11" t="n">
        <v>20</v>
      </c>
      <c r="B21" s="11" t="s">
        <v>147</v>
      </c>
      <c r="C21" s="11" t="n">
        <v>2026</v>
      </c>
      <c r="D21" s="11" t="s">
        <v>379</v>
      </c>
      <c r="E21" s="11" t="s">
        <v>380</v>
      </c>
      <c r="F21" s="11" t="s">
        <v>381</v>
      </c>
      <c r="G21" s="11" t="s">
        <v>168</v>
      </c>
    </row>
    <row r="23" customFormat="false" ht="15" hidden="false" customHeight="true" outlineLevel="0" collapsed="false">
      <c r="B23" s="4" t="s">
        <v>382</v>
      </c>
      <c r="C23" s="4" t="n">
        <f aca="false">COUNTIF(D2:D21,"Review")+COUNTIF(D2:D21,"Survey")+COUNTIF(D2:D21,"Systematic review")</f>
        <v>8</v>
      </c>
    </row>
    <row r="24" customFormat="false" ht="15" hidden="false" customHeight="true" outlineLevel="0" collapsed="false">
      <c r="B24" s="4" t="s">
        <v>344</v>
      </c>
      <c r="C24" s="4" t="n">
        <f aca="false">COUNTIF(D2:D21,"Experimental*")</f>
        <v>11</v>
      </c>
    </row>
    <row r="25" customFormat="false" ht="15" hidden="false" customHeight="true" outlineLevel="0" collapsed="false">
      <c r="B25" s="4" t="s">
        <v>370</v>
      </c>
      <c r="C25" s="4" t="n">
        <f aca="false">COUNTIF(D2:D21,"Benchmark")</f>
        <v>1</v>
      </c>
    </row>
    <row r="26" customFormat="false" ht="15" hidden="false" customHeight="true" outlineLevel="0" collapsed="false">
      <c r="B26" s="4" t="s">
        <v>383</v>
      </c>
      <c r="C26" s="4" t="n">
        <f aca="false">SUM(C23:C25)</f>
        <v>20</v>
      </c>
    </row>
    <row r="27" customFormat="false" ht="15" hidden="false" customHeight="true" outlineLevel="0" collapsed="false">
      <c r="B27" s="4" t="s">
        <v>384</v>
      </c>
      <c r="C27" s="4" t="n">
        <f aca="false">COUNTIFS(D2:D21,"Experimental*",G2:G21,"Yes")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2026-10-14T05:33:22Z</dcterms:created>
  <dc:creator>openpyxl</dc:creator>
  <dc:description/>
  <dc:language>en-US</dc:language>
  <cp:lastModifiedBy/>
  <dcterms:modified xsi:type="dcterms:W3CDTF">2026-10-14T05:47:30Z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